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fons\OneDrive - Universidade de Lisboa\Controlo de Plataforma Sismica\minimesa_data\optimized_benchmark_results\"/>
    </mc:Choice>
  </mc:AlternateContent>
  <xr:revisionPtr revIDLastSave="0" documentId="13_ncr:1_{EDC98FF1-B27A-4EC0-995C-946D7D5EF541}" xr6:coauthVersionLast="47" xr6:coauthVersionMax="47" xr10:uidLastSave="{00000000-0000-0000-0000-000000000000}"/>
  <bookViews>
    <workbookView xWindow="28740" yWindow="-60" windowWidth="28920" windowHeight="16320" xr2:uid="{40A5E321-79F6-4163-A8DE-342D0D4D7873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1" l="1"/>
  <c r="H41" i="1"/>
  <c r="H40" i="1"/>
  <c r="I40" i="1"/>
  <c r="H39" i="1"/>
  <c r="I39" i="1"/>
  <c r="H38" i="1"/>
  <c r="I38" i="1"/>
  <c r="G41" i="1"/>
  <c r="G40" i="1"/>
  <c r="G39" i="1"/>
  <c r="G38" i="1"/>
  <c r="H36" i="1"/>
  <c r="H37" i="1"/>
  <c r="I37" i="1"/>
  <c r="G37" i="1"/>
  <c r="I36" i="1"/>
  <c r="G36" i="1"/>
</calcChain>
</file>

<file path=xl/sharedStrings.xml><?xml version="1.0" encoding="utf-8"?>
<sst xmlns="http://schemas.openxmlformats.org/spreadsheetml/2006/main" count="62" uniqueCount="22">
  <si>
    <t>N</t>
  </si>
  <si>
    <t>P</t>
  </si>
  <si>
    <t>acc</t>
  </si>
  <si>
    <t>disp</t>
  </si>
  <si>
    <t>Erzikan</t>
  </si>
  <si>
    <t>El Centro</t>
  </si>
  <si>
    <t>Kobe</t>
  </si>
  <si>
    <t>L'Aquila</t>
  </si>
  <si>
    <t>Newhall</t>
  </si>
  <si>
    <t>Rinaldi</t>
  </si>
  <si>
    <t>Sylmar</t>
  </si>
  <si>
    <t>Tolmezzo</t>
  </si>
  <si>
    <t>PIDF</t>
  </si>
  <si>
    <t>Optimal Control</t>
  </si>
  <si>
    <t>Adapted</t>
  </si>
  <si>
    <t>Adapted Driver (3rd)</t>
  </si>
  <si>
    <t>média MSE Accel &amp; Disp</t>
  </si>
  <si>
    <t>mediana MSE Accel &amp; Disp</t>
  </si>
  <si>
    <t>média MSE Accel</t>
  </si>
  <si>
    <t>mediana MSE Accel</t>
  </si>
  <si>
    <t>média MSE Disp</t>
  </si>
  <si>
    <t>mediana MSE Disp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</si>
</sst>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0" fillId="3" borderId="0" xfId="0" applyFill="1"/>
    <xf numFmtId="11" fontId="0" fillId="2" borderId="0" xfId="0" applyNumberFormat="1" applyFill="1" applyAlignment="1">
      <alignment horizontal="center" vertical="center"/>
    </xf>
    <xf numFmtId="0" fontId="0" fillId="2" borderId="0" xfId="0" applyFill="1"/>
    <xf numFmtId="0" fontId="0" fillId="0" borderId="0" xfId="0" applyAlignment="1">
      <alignment vertical="center"/>
    </xf>
    <xf numFmtId="11" fontId="0" fillId="4" borderId="0" xfId="0" applyNumberFormat="1" applyFill="1" applyAlignment="1">
      <alignment horizontal="center" vertical="center"/>
    </xf>
    <xf numFmtId="0" fontId="0" fillId="4" borderId="0" xfId="0" applyFill="1"/>
    <xf numFmtId="11" fontId="0" fillId="5" borderId="0" xfId="0" applyNumberFormat="1" applyFill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>
                <a:solidFill>
                  <a:schemeClr val="tx1"/>
                </a:solidFill>
              </a:rPr>
              <a:t>Acceleration</a:t>
            </a:r>
            <a:r>
              <a:rPr lang="pt-PT" baseline="0">
                <a:solidFill>
                  <a:schemeClr val="tx1"/>
                </a:solidFill>
              </a:rPr>
              <a:t>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Folha1!$G$7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(Folha1!$D$8:$F$8,Folha1!$D$10:$F$10,Folha1!$D$12:$F$12,Folha1!$D$14:$F$14,Folha1!$D$16:$F$16,Folha1!$D$18:$F$18,Folha1!$D$20:$F$20,Folha1!$D$22:$F$22,Folha1!$D$24:$F$24,Folha1!$D$26:$F$26,Folha1!$D$28:$F$28,Folha1!$D$30:$F$30,Folha1!$D$32:$F$32,Folha1!$D$34:$F$34)</c:f>
              <c:multiLvlStrCache>
                <c:ptCount val="14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N</c:v>
                  </c:pt>
                  <c:pt idx="8">
                    <c:v>P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Kobe</c:v>
                  </c:pt>
                  <c:pt idx="6">
                    <c:v>L'Aquila</c:v>
                  </c:pt>
                  <c:pt idx="7">
                    <c:v>Newhall</c:v>
                  </c:pt>
                  <c:pt idx="9">
                    <c:v>Rinaldi</c:v>
                  </c:pt>
                  <c:pt idx="11">
                    <c:v>Sylmar</c:v>
                  </c:pt>
                  <c:pt idx="13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Folha1!$G$8:$G$35</c15:sqref>
                  </c15:fullRef>
                </c:ext>
              </c:extLst>
              <c:f>(Folha1!$G$8,Folha1!$G$10,Folha1!$G$12,Folha1!$G$14,Folha1!$G$16,Folha1!$G$18,Folha1!$G$20,Folha1!$G$22,Folha1!$G$24,Folha1!$G$26,Folha1!$G$28,Folha1!$G$30,Folha1!$G$32,Folha1!$G$34)</c:f>
              <c:numCache>
                <c:formatCode>0.00E+00</c:formatCode>
                <c:ptCount val="14"/>
                <c:pt idx="0">
                  <c:v>5.6199999999999997E-5</c:v>
                </c:pt>
                <c:pt idx="1">
                  <c:v>1.3200000000000001E-5</c:v>
                </c:pt>
                <c:pt idx="2">
                  <c:v>1.9999999999999999E-6</c:v>
                </c:pt>
                <c:pt idx="3">
                  <c:v>4.1099999999999996E-6</c:v>
                </c:pt>
                <c:pt idx="4">
                  <c:v>3.1000000000000001E-5</c:v>
                </c:pt>
                <c:pt idx="5">
                  <c:v>2.09E-5</c:v>
                </c:pt>
                <c:pt idx="6">
                  <c:v>1.98E-5</c:v>
                </c:pt>
                <c:pt idx="7">
                  <c:v>1.34E-5</c:v>
                </c:pt>
                <c:pt idx="8">
                  <c:v>6.7499999999999997E-6</c:v>
                </c:pt>
                <c:pt idx="9">
                  <c:v>1.2999999999999999E-5</c:v>
                </c:pt>
                <c:pt idx="10">
                  <c:v>1.9300000000000002E-5</c:v>
                </c:pt>
                <c:pt idx="11">
                  <c:v>1.8600000000000001E-5</c:v>
                </c:pt>
                <c:pt idx="12">
                  <c:v>4.9799999999999998E-6</c:v>
                </c:pt>
                <c:pt idx="13">
                  <c:v>3.0400000000000002E-4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5-4E58-AC06-AF98CDCBEC7D}"/>
            </c:ext>
          </c:extLst>
        </c:ser>
        <c:ser>
          <c:idx val="1"/>
          <c:order val="1"/>
          <c:tx>
            <c:strRef>
              <c:f>Folha1!$H$7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(Folha1!$D$8:$F$8,Folha1!$D$10:$F$10,Folha1!$D$12:$F$12,Folha1!$D$14:$F$14,Folha1!$D$16:$F$16,Folha1!$D$18:$F$18,Folha1!$D$20:$F$20,Folha1!$D$22:$F$22,Folha1!$D$24:$F$24,Folha1!$D$26:$F$26,Folha1!$D$28:$F$28,Folha1!$D$30:$F$30,Folha1!$D$32:$F$32,Folha1!$D$34:$F$34)</c:f>
              <c:multiLvlStrCache>
                <c:ptCount val="14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N</c:v>
                  </c:pt>
                  <c:pt idx="8">
                    <c:v>P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Kobe</c:v>
                  </c:pt>
                  <c:pt idx="6">
                    <c:v>L'Aquila</c:v>
                  </c:pt>
                  <c:pt idx="7">
                    <c:v>Newhall</c:v>
                  </c:pt>
                  <c:pt idx="9">
                    <c:v>Rinaldi</c:v>
                  </c:pt>
                  <c:pt idx="11">
                    <c:v>Sylmar</c:v>
                  </c:pt>
                  <c:pt idx="13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Folha1!$H$8:$H$35</c15:sqref>
                  </c15:fullRef>
                </c:ext>
              </c:extLst>
              <c:f>(Folha1!$H$8,Folha1!$H$10,Folha1!$H$12,Folha1!$H$14,Folha1!$H$16,Folha1!$H$18,Folha1!$H$20,Folha1!$H$22,Folha1!$H$24,Folha1!$H$26,Folha1!$H$28,Folha1!$H$30,Folha1!$H$32,Folha1!$H$34)</c:f>
              <c:numCache>
                <c:formatCode>0.00E+00</c:formatCode>
                <c:ptCount val="14"/>
                <c:pt idx="0">
                  <c:v>1.11E-5</c:v>
                </c:pt>
                <c:pt idx="1">
                  <c:v>3.0199999999999999E-6</c:v>
                </c:pt>
                <c:pt idx="2">
                  <c:v>3.8299999999999998E-7</c:v>
                </c:pt>
                <c:pt idx="3">
                  <c:v>7.0300000000000001E-8</c:v>
                </c:pt>
                <c:pt idx="4">
                  <c:v>3.0800000000000001E-7</c:v>
                </c:pt>
                <c:pt idx="5">
                  <c:v>1.19E-6</c:v>
                </c:pt>
                <c:pt idx="6">
                  <c:v>4.1199999999999998E-7</c:v>
                </c:pt>
                <c:pt idx="7">
                  <c:v>8.8800000000000001E-7</c:v>
                </c:pt>
                <c:pt idx="8">
                  <c:v>1.61E-6</c:v>
                </c:pt>
                <c:pt idx="9">
                  <c:v>1.28E-6</c:v>
                </c:pt>
                <c:pt idx="10">
                  <c:v>2.1000000000000001E-4</c:v>
                </c:pt>
                <c:pt idx="11">
                  <c:v>3.0900000000000001E-6</c:v>
                </c:pt>
                <c:pt idx="12">
                  <c:v>4.3000000000000001E-7</c:v>
                </c:pt>
                <c:pt idx="13">
                  <c:v>8.7399999999999997E-5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05-4E58-AC06-AF98CDCBEC7D}"/>
            </c:ext>
          </c:extLst>
        </c:ser>
        <c:ser>
          <c:idx val="2"/>
          <c:order val="2"/>
          <c:tx>
            <c:strRef>
              <c:f>Folha1!$I$7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(Folha1!$D$8:$F$8,Folha1!$D$10:$F$10,Folha1!$D$12:$F$12,Folha1!$D$14:$F$14,Folha1!$D$16:$F$16,Folha1!$D$18:$F$18,Folha1!$D$20:$F$20,Folha1!$D$22:$F$22,Folha1!$D$24:$F$24,Folha1!$D$26:$F$26,Folha1!$D$28:$F$28,Folha1!$D$30:$F$30,Folha1!$D$32:$F$32,Folha1!$D$34:$F$34)</c:f>
              <c:multiLvlStrCache>
                <c:ptCount val="14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N</c:v>
                  </c:pt>
                  <c:pt idx="8">
                    <c:v>P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Kobe</c:v>
                  </c:pt>
                  <c:pt idx="6">
                    <c:v>L'Aquila</c:v>
                  </c:pt>
                  <c:pt idx="7">
                    <c:v>Newhall</c:v>
                  </c:pt>
                  <c:pt idx="9">
                    <c:v>Rinaldi</c:v>
                  </c:pt>
                  <c:pt idx="11">
                    <c:v>Sylmar</c:v>
                  </c:pt>
                  <c:pt idx="13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Folha1!$I$8:$I$35</c15:sqref>
                  </c15:fullRef>
                </c:ext>
              </c:extLst>
              <c:f>(Folha1!$I$8,Folha1!$I$10,Folha1!$I$12,Folha1!$I$14,Folha1!$I$16,Folha1!$I$18,Folha1!$I$20,Folha1!$I$22,Folha1!$I$24,Folha1!$I$26,Folha1!$I$28,Folha1!$I$30,Folha1!$I$32,Folha1!$I$34)</c:f>
              <c:numCache>
                <c:formatCode>0.00E+00</c:formatCode>
                <c:ptCount val="14"/>
                <c:pt idx="0">
                  <c:v>4.9100000000000001E-5</c:v>
                </c:pt>
                <c:pt idx="1">
                  <c:v>9.5999999999999996E-6</c:v>
                </c:pt>
                <c:pt idx="2">
                  <c:v>3.76E-6</c:v>
                </c:pt>
                <c:pt idx="3">
                  <c:v>7.0999999999999998E-6</c:v>
                </c:pt>
                <c:pt idx="4">
                  <c:v>1.9000000000000001E-5</c:v>
                </c:pt>
                <c:pt idx="5">
                  <c:v>1.7099999999999999E-5</c:v>
                </c:pt>
                <c:pt idx="6">
                  <c:v>4.0200000000000001E-5</c:v>
                </c:pt>
                <c:pt idx="7">
                  <c:v>1.4399999999999999E-5</c:v>
                </c:pt>
                <c:pt idx="8">
                  <c:v>2.51E-5</c:v>
                </c:pt>
                <c:pt idx="9">
                  <c:v>3.1300000000000002E-5</c:v>
                </c:pt>
                <c:pt idx="10">
                  <c:v>2.7999999999999998E-4</c:v>
                </c:pt>
                <c:pt idx="11">
                  <c:v>5.0099999999999998E-5</c:v>
                </c:pt>
                <c:pt idx="12">
                  <c:v>9.8099999999999992E-6</c:v>
                </c:pt>
                <c:pt idx="13">
                  <c:v>1.67E-3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05-4E58-AC06-AF98CDCBE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5E-3"/>
          <c:min val="7.0000000000000031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 b="0" i="0" u="none" strike="noStrike" kern="1200" baseline="0">
                    <a:solidFill>
                      <a:schemeClr val="tx1"/>
                    </a:solidFill>
                  </a:rPr>
                  <a:t>Acceleration Response Spectrum MSE (m/s^2)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Displacement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Folha1!$G$7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(Folha1!$D$9:$F$9,Folha1!$D$11:$F$11,Folha1!$D$13:$F$13,Folha1!$D$15:$F$15,Folha1!$D$17:$F$17,Folha1!$D$19:$F$19,Folha1!$D$21:$F$21,Folha1!$D$23:$F$23,Folha1!$D$25:$F$25,Folha1!$D$27:$F$27,Folha1!$D$29:$F$29,Folha1!$D$31:$F$31,Folha1!$D$33:$F$33,Folha1!$D$35:$F$35)</c:f>
              <c:multiLvlStrCache>
                <c:ptCount val="14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Folha1!$G$8:$G$35</c15:sqref>
                  </c15:fullRef>
                </c:ext>
              </c:extLst>
              <c:f>(Folha1!$G$9,Folha1!$G$11,Folha1!$G$13,Folha1!$G$15,Folha1!$G$17,Folha1!$G$19,Folha1!$G$21,Folha1!$G$23,Folha1!$G$25,Folha1!$G$27,Folha1!$G$29,Folha1!$G$31,Folha1!$G$33,Folha1!$G$35)</c:f>
              <c:numCache>
                <c:formatCode>0.00E+00</c:formatCode>
                <c:ptCount val="14"/>
                <c:pt idx="0">
                  <c:v>6E-10</c:v>
                </c:pt>
                <c:pt idx="1">
                  <c:v>3.4699999999999999E-10</c:v>
                </c:pt>
                <c:pt idx="2">
                  <c:v>1.9800000000000002E-9</c:v>
                </c:pt>
                <c:pt idx="3">
                  <c:v>9.1099999999999996E-10</c:v>
                </c:pt>
                <c:pt idx="4">
                  <c:v>6.4400000000000001E-9</c:v>
                </c:pt>
                <c:pt idx="5">
                  <c:v>4.8499999999999996E-9</c:v>
                </c:pt>
                <c:pt idx="6">
                  <c:v>5.6299999999999998E-9</c:v>
                </c:pt>
                <c:pt idx="7">
                  <c:v>3.9700000000000001E-9</c:v>
                </c:pt>
                <c:pt idx="8">
                  <c:v>3.8200000000000003E-10</c:v>
                </c:pt>
                <c:pt idx="9">
                  <c:v>5.2599999999999996E-9</c:v>
                </c:pt>
                <c:pt idx="10">
                  <c:v>1.44E-9</c:v>
                </c:pt>
                <c:pt idx="11">
                  <c:v>2.7000000000000002E-9</c:v>
                </c:pt>
                <c:pt idx="12">
                  <c:v>1.38E-9</c:v>
                </c:pt>
                <c:pt idx="13">
                  <c:v>8.6399999999999999E-9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EE-42FB-9F04-031C26ED6FF5}"/>
            </c:ext>
          </c:extLst>
        </c:ser>
        <c:ser>
          <c:idx val="1"/>
          <c:order val="1"/>
          <c:tx>
            <c:strRef>
              <c:f>Folha1!$H$7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(Folha1!$D$9:$F$9,Folha1!$D$11:$F$11,Folha1!$D$13:$F$13,Folha1!$D$15:$F$15,Folha1!$D$17:$F$17,Folha1!$D$19:$F$19,Folha1!$D$21:$F$21,Folha1!$D$23:$F$23,Folha1!$D$25:$F$25,Folha1!$D$27:$F$27,Folha1!$D$29:$F$29,Folha1!$D$31:$F$31,Folha1!$D$33:$F$33,Folha1!$D$35:$F$35)</c:f>
              <c:multiLvlStrCache>
                <c:ptCount val="14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Folha1!$H$8:$H$35</c15:sqref>
                  </c15:fullRef>
                </c:ext>
              </c:extLst>
              <c:f>(Folha1!$H$9,Folha1!$H$11,Folha1!$H$13,Folha1!$H$15,Folha1!$H$17,Folha1!$H$19,Folha1!$H$21,Folha1!$H$23,Folha1!$H$25,Folha1!$H$27,Folha1!$H$29,Folha1!$H$31,Folha1!$H$33,Folha1!$H$35)</c:f>
              <c:numCache>
                <c:formatCode>0.00E+00</c:formatCode>
                <c:ptCount val="14"/>
                <c:pt idx="0">
                  <c:v>1.5900000000000001E-12</c:v>
                </c:pt>
                <c:pt idx="1">
                  <c:v>2.3499999999999999E-12</c:v>
                </c:pt>
                <c:pt idx="2">
                  <c:v>1.42E-12</c:v>
                </c:pt>
                <c:pt idx="3">
                  <c:v>6.5600000000000003E-13</c:v>
                </c:pt>
                <c:pt idx="4">
                  <c:v>8.4400000000000004E-13</c:v>
                </c:pt>
                <c:pt idx="5">
                  <c:v>5.4200000000000001E-13</c:v>
                </c:pt>
                <c:pt idx="6">
                  <c:v>1.66E-12</c:v>
                </c:pt>
                <c:pt idx="7">
                  <c:v>2.2100000000000001E-12</c:v>
                </c:pt>
                <c:pt idx="8">
                  <c:v>2.4099999999999998E-13</c:v>
                </c:pt>
                <c:pt idx="9">
                  <c:v>3.1399999999999999E-12</c:v>
                </c:pt>
                <c:pt idx="10">
                  <c:v>6.9799999999999995E-13</c:v>
                </c:pt>
                <c:pt idx="11">
                  <c:v>9.3199999999999999E-12</c:v>
                </c:pt>
                <c:pt idx="12">
                  <c:v>1.9899999999999998E-12</c:v>
                </c:pt>
                <c:pt idx="13">
                  <c:v>1.7399999999999999E-11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EE-42FB-9F04-031C26ED6FF5}"/>
            </c:ext>
          </c:extLst>
        </c:ser>
        <c:ser>
          <c:idx val="2"/>
          <c:order val="2"/>
          <c:tx>
            <c:strRef>
              <c:f>Folha1!$I$7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(Folha1!$D$9:$F$9,Folha1!$D$11:$F$11,Folha1!$D$13:$F$13,Folha1!$D$15:$F$15,Folha1!$D$17:$F$17,Folha1!$D$19:$F$19,Folha1!$D$21:$F$21,Folha1!$D$23:$F$23,Folha1!$D$25:$F$25,Folha1!$D$27:$F$27,Folha1!$D$29:$F$29,Folha1!$D$31:$F$31,Folha1!$D$33:$F$33,Folha1!$D$35:$F$35)</c:f>
              <c:multiLvlStrCache>
                <c:ptCount val="14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Folha1!$I$8:$I$35</c15:sqref>
                  </c15:fullRef>
                </c:ext>
              </c:extLst>
              <c:f>(Folha1!$I$9,Folha1!$I$11,Folha1!$I$13,Folha1!$I$15,Folha1!$I$17,Folha1!$I$19,Folha1!$I$21,Folha1!$I$23,Folha1!$I$25,Folha1!$I$27,Folha1!$I$29,Folha1!$I$31,Folha1!$I$33,Folha1!$I$35)</c:f>
              <c:numCache>
                <c:formatCode>0.00E+00</c:formatCode>
                <c:ptCount val="14"/>
                <c:pt idx="0">
                  <c:v>5.6800000000000002E-9</c:v>
                </c:pt>
                <c:pt idx="1">
                  <c:v>1.42E-8</c:v>
                </c:pt>
                <c:pt idx="2">
                  <c:v>6.6000000000000003E-6</c:v>
                </c:pt>
                <c:pt idx="3">
                  <c:v>6.1700000000000004E-11</c:v>
                </c:pt>
                <c:pt idx="4">
                  <c:v>1.3799999999999999E-8</c:v>
                </c:pt>
                <c:pt idx="5">
                  <c:v>1.14E-8</c:v>
                </c:pt>
                <c:pt idx="6">
                  <c:v>1.4100000000000001E-8</c:v>
                </c:pt>
                <c:pt idx="7">
                  <c:v>1.4E-8</c:v>
                </c:pt>
                <c:pt idx="8">
                  <c:v>2.81E-9</c:v>
                </c:pt>
                <c:pt idx="9">
                  <c:v>1.6499999999999999E-8</c:v>
                </c:pt>
                <c:pt idx="10">
                  <c:v>8.0299999999999998E-8</c:v>
                </c:pt>
                <c:pt idx="11">
                  <c:v>1.4E-8</c:v>
                </c:pt>
                <c:pt idx="12">
                  <c:v>5.1499999999999998E-9</c:v>
                </c:pt>
                <c:pt idx="13">
                  <c:v>1.4100000000000001E-8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EE-42FB-9F04-031C26ED6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8E-5"/>
          <c:min val="2.0000000000000013E-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Mean &amp; Average Statistics for all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Folha1!$G$7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Folha1!$J$36:$J$41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Folha1!$G$36:$G$41</c:f>
              <c:numCache>
                <c:formatCode>0.00E+00</c:formatCode>
                <c:ptCount val="6"/>
                <c:pt idx="0">
                  <c:v>1.8831590357142854E-5</c:v>
                </c:pt>
                <c:pt idx="1">
                  <c:v>1.00432E-6</c:v>
                </c:pt>
                <c:pt idx="2">
                  <c:v>3.7660000000000002E-5</c:v>
                </c:pt>
                <c:pt idx="3">
                  <c:v>1.6000000000000003E-5</c:v>
                </c:pt>
                <c:pt idx="4">
                  <c:v>3.180714285714286E-9</c:v>
                </c:pt>
                <c:pt idx="5">
                  <c:v>2.3400000000000002E-9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3B-42BA-9EFD-08D9A66046A6}"/>
            </c:ext>
          </c:extLst>
        </c:ser>
        <c:ser>
          <c:idx val="1"/>
          <c:order val="1"/>
          <c:tx>
            <c:strRef>
              <c:f>Folha1!$H$7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Folha1!$J$36:$J$41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Folha1!$H$36:$H$41</c:f>
              <c:numCache>
                <c:formatCode>0.00E+00</c:formatCode>
                <c:ptCount val="6"/>
                <c:pt idx="0">
                  <c:v>1.1470762287892856E-5</c:v>
                </c:pt>
                <c:pt idx="1">
                  <c:v>3.5158700000000001E-8</c:v>
                </c:pt>
                <c:pt idx="2">
                  <c:v>2.2941521428571429E-5</c:v>
                </c:pt>
                <c:pt idx="3">
                  <c:v>1.235E-6</c:v>
                </c:pt>
                <c:pt idx="4">
                  <c:v>3.1472142857142858E-12</c:v>
                </c:pt>
                <c:pt idx="5">
                  <c:v>1.625E-12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3B-42BA-9EFD-08D9A66046A6}"/>
            </c:ext>
          </c:extLst>
        </c:ser>
        <c:ser>
          <c:idx val="2"/>
          <c:order val="2"/>
          <c:tx>
            <c:strRef>
              <c:f>Folha1!$I$7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Folha1!$J$36:$J$41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Folha1!$I$36:$I$41</c:f>
              <c:numCache>
                <c:formatCode>0.00E+00</c:formatCode>
                <c:ptCount val="6"/>
                <c:pt idx="0">
                  <c:v>7.9763432203571423E-5</c:v>
                </c:pt>
                <c:pt idx="1">
                  <c:v>5.1800000000000004E-6</c:v>
                </c:pt>
                <c:pt idx="2">
                  <c:v>1.5904071428571426E-4</c:v>
                </c:pt>
                <c:pt idx="3">
                  <c:v>2.2050000000000001E-5</c:v>
                </c:pt>
                <c:pt idx="4">
                  <c:v>4.8615012142857137E-7</c:v>
                </c:pt>
                <c:pt idx="5">
                  <c:v>1.4E-8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3B-42BA-9EFD-08D9A6604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6E-4"/>
          <c:min val="1.0000000000000006E-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247649</xdr:colOff>
      <xdr:row>3</xdr:row>
      <xdr:rowOff>133350</xdr:rowOff>
    </xdr:from>
    <xdr:to>
      <xdr:col>27</xdr:col>
      <xdr:colOff>211666</xdr:colOff>
      <xdr:row>20</xdr:row>
      <xdr:rowOff>142875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C3786B8-187F-6877-ACCA-AC1C3397B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239448</xdr:colOff>
      <xdr:row>21</xdr:row>
      <xdr:rowOff>75407</xdr:rowOff>
    </xdr:from>
    <xdr:to>
      <xdr:col>27</xdr:col>
      <xdr:colOff>207698</xdr:colOff>
      <xdr:row>44</xdr:row>
      <xdr:rowOff>11906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509C17A-2835-4CEE-9A09-BDBED821C2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457291</xdr:colOff>
      <xdr:row>42</xdr:row>
      <xdr:rowOff>117988</xdr:rowOff>
    </xdr:from>
    <xdr:to>
      <xdr:col>10</xdr:col>
      <xdr:colOff>102576</xdr:colOff>
      <xdr:row>65</xdr:row>
      <xdr:rowOff>43962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59274BD-7D23-4341-821E-9C7CF27A40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F0F66-B73B-4024-8B3D-E85F6FE3C626}">
  <dimension ref="D7:J42"/>
  <sheetViews>
    <sheetView tabSelected="1" zoomScale="65" zoomScaleNormal="80" workbookViewId="0">
      <selection activeCell="U57" sqref="U57"/>
    </sheetView>
  </sheetViews>
  <sheetFormatPr defaultRowHeight="15" x14ac:dyDescent="0.25"/>
  <cols>
    <col min="4" max="9" width="9.140625" style="1"/>
    <col min="10" max="10" width="24.140625" customWidth="1"/>
  </cols>
  <sheetData>
    <row r="7" spans="4:9" x14ac:dyDescent="0.25">
      <c r="G7" s="1" t="s">
        <v>12</v>
      </c>
      <c r="H7" s="1" t="s">
        <v>13</v>
      </c>
      <c r="I7" s="1" t="s">
        <v>15</v>
      </c>
    </row>
    <row r="8" spans="4:9" x14ac:dyDescent="0.25">
      <c r="D8" s="15" t="s">
        <v>5</v>
      </c>
      <c r="E8" s="15" t="s">
        <v>0</v>
      </c>
      <c r="F8" s="1" t="s">
        <v>2</v>
      </c>
      <c r="G8" s="2">
        <v>5.6199999999999997E-5</v>
      </c>
      <c r="H8" s="2">
        <v>1.11E-5</v>
      </c>
      <c r="I8" s="2">
        <v>4.9100000000000001E-5</v>
      </c>
    </row>
    <row r="9" spans="4:9" x14ac:dyDescent="0.25">
      <c r="D9" s="15"/>
      <c r="E9" s="15"/>
      <c r="F9" s="1" t="s">
        <v>3</v>
      </c>
      <c r="G9" s="2">
        <v>6E-10</v>
      </c>
      <c r="H9" s="2">
        <v>1.5900000000000001E-12</v>
      </c>
      <c r="I9" s="2">
        <v>5.6800000000000002E-9</v>
      </c>
    </row>
    <row r="10" spans="4:9" x14ac:dyDescent="0.25">
      <c r="D10" s="15"/>
      <c r="E10" s="15" t="s">
        <v>1</v>
      </c>
      <c r="F10" s="1" t="s">
        <v>2</v>
      </c>
      <c r="G10" s="2">
        <v>1.3200000000000001E-5</v>
      </c>
      <c r="H10" s="2">
        <v>3.0199999999999999E-6</v>
      </c>
      <c r="I10" s="2">
        <v>9.5999999999999996E-6</v>
      </c>
    </row>
    <row r="11" spans="4:9" x14ac:dyDescent="0.25">
      <c r="D11" s="15"/>
      <c r="E11" s="15"/>
      <c r="F11" s="1" t="s">
        <v>3</v>
      </c>
      <c r="G11" s="2">
        <v>3.4699999999999999E-10</v>
      </c>
      <c r="H11" s="2">
        <v>2.3499999999999999E-12</v>
      </c>
      <c r="I11" s="2">
        <v>1.42E-8</v>
      </c>
    </row>
    <row r="12" spans="4:9" x14ac:dyDescent="0.25">
      <c r="D12" s="15" t="s">
        <v>4</v>
      </c>
      <c r="E12" s="15" t="s">
        <v>0</v>
      </c>
      <c r="F12" s="1" t="s">
        <v>2</v>
      </c>
      <c r="G12" s="2">
        <v>1.9999999999999999E-6</v>
      </c>
      <c r="H12" s="2">
        <v>3.8299999999999998E-7</v>
      </c>
      <c r="I12" s="2">
        <v>3.76E-6</v>
      </c>
    </row>
    <row r="13" spans="4:9" x14ac:dyDescent="0.25">
      <c r="D13" s="15"/>
      <c r="E13" s="15"/>
      <c r="F13" s="1" t="s">
        <v>3</v>
      </c>
      <c r="G13" s="2">
        <v>1.9800000000000002E-9</v>
      </c>
      <c r="H13" s="2">
        <v>1.42E-12</v>
      </c>
      <c r="I13" s="2">
        <v>6.6000000000000003E-6</v>
      </c>
    </row>
    <row r="14" spans="4:9" x14ac:dyDescent="0.25">
      <c r="D14" s="15"/>
      <c r="E14" s="15" t="s">
        <v>1</v>
      </c>
      <c r="F14" s="1" t="s">
        <v>2</v>
      </c>
      <c r="G14" s="2">
        <v>4.1099999999999996E-6</v>
      </c>
      <c r="H14" s="2">
        <v>7.0300000000000001E-8</v>
      </c>
      <c r="I14" s="2">
        <v>7.0999999999999998E-6</v>
      </c>
    </row>
    <row r="15" spans="4:9" x14ac:dyDescent="0.25">
      <c r="D15" s="15"/>
      <c r="E15" s="15"/>
      <c r="F15" s="1" t="s">
        <v>3</v>
      </c>
      <c r="G15" s="2">
        <v>9.1099999999999996E-10</v>
      </c>
      <c r="H15" s="2">
        <v>6.5600000000000003E-13</v>
      </c>
      <c r="I15" s="2">
        <v>6.1700000000000004E-11</v>
      </c>
    </row>
    <row r="16" spans="4:9" x14ac:dyDescent="0.25">
      <c r="D16" s="15" t="s">
        <v>6</v>
      </c>
      <c r="E16" s="15" t="s">
        <v>0</v>
      </c>
      <c r="F16" s="1" t="s">
        <v>2</v>
      </c>
      <c r="G16" s="2">
        <v>3.1000000000000001E-5</v>
      </c>
      <c r="H16" s="2">
        <v>3.0800000000000001E-7</v>
      </c>
      <c r="I16" s="2">
        <v>1.9000000000000001E-5</v>
      </c>
    </row>
    <row r="17" spans="4:9" x14ac:dyDescent="0.25">
      <c r="D17" s="15"/>
      <c r="E17" s="15"/>
      <c r="F17" s="1" t="s">
        <v>3</v>
      </c>
      <c r="G17" s="2">
        <v>6.4400000000000001E-9</v>
      </c>
      <c r="H17" s="2">
        <v>8.4400000000000004E-13</v>
      </c>
      <c r="I17" s="2">
        <v>1.3799999999999999E-8</v>
      </c>
    </row>
    <row r="18" spans="4:9" x14ac:dyDescent="0.25">
      <c r="D18" s="15"/>
      <c r="E18" s="15" t="s">
        <v>1</v>
      </c>
      <c r="F18" s="1" t="s">
        <v>2</v>
      </c>
      <c r="G18" s="2">
        <v>2.09E-5</v>
      </c>
      <c r="H18" s="2">
        <v>1.19E-6</v>
      </c>
      <c r="I18" s="2">
        <v>1.7099999999999999E-5</v>
      </c>
    </row>
    <row r="19" spans="4:9" x14ac:dyDescent="0.25">
      <c r="D19" s="15"/>
      <c r="E19" s="15"/>
      <c r="F19" s="1" t="s">
        <v>3</v>
      </c>
      <c r="G19" s="2">
        <v>4.8499999999999996E-9</v>
      </c>
      <c r="H19" s="2">
        <v>5.4200000000000001E-13</v>
      </c>
      <c r="I19" s="2">
        <v>1.14E-8</v>
      </c>
    </row>
    <row r="20" spans="4:9" x14ac:dyDescent="0.25">
      <c r="D20" s="15" t="s">
        <v>7</v>
      </c>
      <c r="E20" s="15" t="s">
        <v>0</v>
      </c>
      <c r="F20" s="1" t="s">
        <v>2</v>
      </c>
      <c r="G20" s="2">
        <v>1.98E-5</v>
      </c>
      <c r="H20" s="2">
        <v>4.1199999999999998E-7</v>
      </c>
      <c r="I20" s="2">
        <v>4.0200000000000001E-5</v>
      </c>
    </row>
    <row r="21" spans="4:9" x14ac:dyDescent="0.25">
      <c r="D21" s="15"/>
      <c r="E21" s="15"/>
      <c r="F21" s="1" t="s">
        <v>3</v>
      </c>
      <c r="G21" s="2">
        <v>5.6299999999999998E-9</v>
      </c>
      <c r="H21" s="2">
        <v>1.66E-12</v>
      </c>
      <c r="I21" s="2">
        <v>1.4100000000000001E-8</v>
      </c>
    </row>
    <row r="22" spans="4:9" x14ac:dyDescent="0.25">
      <c r="D22" s="15" t="s">
        <v>8</v>
      </c>
      <c r="E22" s="15" t="s">
        <v>0</v>
      </c>
      <c r="F22" s="1" t="s">
        <v>2</v>
      </c>
      <c r="G22" s="2">
        <v>1.34E-5</v>
      </c>
      <c r="H22" s="2">
        <v>8.8800000000000001E-7</v>
      </c>
      <c r="I22" s="2">
        <v>1.4399999999999999E-5</v>
      </c>
    </row>
    <row r="23" spans="4:9" x14ac:dyDescent="0.25">
      <c r="D23" s="15"/>
      <c r="E23" s="15"/>
      <c r="F23" s="1" t="s">
        <v>3</v>
      </c>
      <c r="G23" s="2">
        <v>3.9700000000000001E-9</v>
      </c>
      <c r="H23" s="2">
        <v>2.2100000000000001E-12</v>
      </c>
      <c r="I23" s="2">
        <v>1.4E-8</v>
      </c>
    </row>
    <row r="24" spans="4:9" x14ac:dyDescent="0.25">
      <c r="D24" s="15"/>
      <c r="E24" s="15" t="s">
        <v>1</v>
      </c>
      <c r="F24" s="1" t="s">
        <v>2</v>
      </c>
      <c r="G24" s="2">
        <v>6.7499999999999997E-6</v>
      </c>
      <c r="H24" s="2">
        <v>1.61E-6</v>
      </c>
      <c r="I24" s="2">
        <v>2.51E-5</v>
      </c>
    </row>
    <row r="25" spans="4:9" x14ac:dyDescent="0.25">
      <c r="D25" s="15"/>
      <c r="E25" s="15"/>
      <c r="F25" s="1" t="s">
        <v>3</v>
      </c>
      <c r="G25" s="2">
        <v>3.8200000000000003E-10</v>
      </c>
      <c r="H25" s="2">
        <v>2.4099999999999998E-13</v>
      </c>
      <c r="I25" s="2">
        <v>2.81E-9</v>
      </c>
    </row>
    <row r="26" spans="4:9" x14ac:dyDescent="0.25">
      <c r="D26" s="15" t="s">
        <v>9</v>
      </c>
      <c r="E26" s="15" t="s">
        <v>0</v>
      </c>
      <c r="F26" s="1" t="s">
        <v>2</v>
      </c>
      <c r="G26" s="2">
        <v>1.2999999999999999E-5</v>
      </c>
      <c r="H26" s="2">
        <v>1.28E-6</v>
      </c>
      <c r="I26" s="2">
        <v>3.1300000000000002E-5</v>
      </c>
    </row>
    <row r="27" spans="4:9" x14ac:dyDescent="0.25">
      <c r="D27" s="15"/>
      <c r="E27" s="15"/>
      <c r="F27" s="1" t="s">
        <v>3</v>
      </c>
      <c r="G27" s="2">
        <v>5.2599999999999996E-9</v>
      </c>
      <c r="H27" s="2">
        <v>3.1399999999999999E-12</v>
      </c>
      <c r="I27" s="2">
        <v>1.6499999999999999E-8</v>
      </c>
    </row>
    <row r="28" spans="4:9" x14ac:dyDescent="0.25">
      <c r="D28" s="15"/>
      <c r="E28" s="15" t="s">
        <v>1</v>
      </c>
      <c r="F28" s="1" t="s">
        <v>2</v>
      </c>
      <c r="G28" s="2">
        <v>1.9300000000000002E-5</v>
      </c>
      <c r="H28" s="2">
        <v>2.1000000000000001E-4</v>
      </c>
      <c r="I28" s="2">
        <v>2.7999999999999998E-4</v>
      </c>
    </row>
    <row r="29" spans="4:9" x14ac:dyDescent="0.25">
      <c r="D29" s="15"/>
      <c r="E29" s="15"/>
      <c r="F29" s="1" t="s">
        <v>3</v>
      </c>
      <c r="G29" s="2">
        <v>1.44E-9</v>
      </c>
      <c r="H29" s="2">
        <v>6.9799999999999995E-13</v>
      </c>
      <c r="I29" s="2">
        <v>8.0299999999999998E-8</v>
      </c>
    </row>
    <row r="30" spans="4:9" x14ac:dyDescent="0.25">
      <c r="D30" s="15" t="s">
        <v>10</v>
      </c>
      <c r="E30" s="15" t="s">
        <v>0</v>
      </c>
      <c r="F30" s="1" t="s">
        <v>2</v>
      </c>
      <c r="G30" s="2">
        <v>1.8600000000000001E-5</v>
      </c>
      <c r="H30" s="2">
        <v>3.0900000000000001E-6</v>
      </c>
      <c r="I30" s="2">
        <v>5.0099999999999998E-5</v>
      </c>
    </row>
    <row r="31" spans="4:9" x14ac:dyDescent="0.25">
      <c r="D31" s="15"/>
      <c r="E31" s="15"/>
      <c r="F31" s="1" t="s">
        <v>3</v>
      </c>
      <c r="G31" s="2">
        <v>2.7000000000000002E-9</v>
      </c>
      <c r="H31" s="2">
        <v>9.3199999999999999E-12</v>
      </c>
      <c r="I31" s="2">
        <v>1.4E-8</v>
      </c>
    </row>
    <row r="32" spans="4:9" x14ac:dyDescent="0.25">
      <c r="D32" s="15"/>
      <c r="E32" s="15" t="s">
        <v>1</v>
      </c>
      <c r="F32" s="1" t="s">
        <v>2</v>
      </c>
      <c r="G32" s="2">
        <v>4.9799999999999998E-6</v>
      </c>
      <c r="H32" s="2">
        <v>4.3000000000000001E-7</v>
      </c>
      <c r="I32" s="2">
        <v>9.8099999999999992E-6</v>
      </c>
    </row>
    <row r="33" spans="4:10" x14ac:dyDescent="0.25">
      <c r="D33" s="15"/>
      <c r="E33" s="15"/>
      <c r="F33" s="1" t="s">
        <v>3</v>
      </c>
      <c r="G33" s="2">
        <v>1.38E-9</v>
      </c>
      <c r="H33" s="2">
        <v>1.9899999999999998E-12</v>
      </c>
      <c r="I33" s="2">
        <v>5.1499999999999998E-9</v>
      </c>
    </row>
    <row r="34" spans="4:10" x14ac:dyDescent="0.25">
      <c r="D34" s="15" t="s">
        <v>11</v>
      </c>
      <c r="E34" s="15" t="s">
        <v>0</v>
      </c>
      <c r="F34" s="1" t="s">
        <v>2</v>
      </c>
      <c r="G34" s="2">
        <v>3.0400000000000002E-4</v>
      </c>
      <c r="H34" s="2">
        <v>8.7399999999999997E-5</v>
      </c>
      <c r="I34" s="2">
        <v>1.67E-3</v>
      </c>
    </row>
    <row r="35" spans="4:10" x14ac:dyDescent="0.25">
      <c r="D35" s="15"/>
      <c r="E35" s="15"/>
      <c r="F35" s="1" t="s">
        <v>3</v>
      </c>
      <c r="G35" s="2">
        <v>8.6399999999999999E-9</v>
      </c>
      <c r="H35" s="2">
        <v>1.7399999999999999E-11</v>
      </c>
      <c r="I35" s="2">
        <v>1.4100000000000001E-8</v>
      </c>
    </row>
    <row r="36" spans="4:10" x14ac:dyDescent="0.25">
      <c r="G36" s="3">
        <f>AVERAGE(G8:G35)</f>
        <v>1.8831590357142854E-5</v>
      </c>
      <c r="H36" s="3">
        <f>AVERAGE(H8:H35)</f>
        <v>1.1470762287892856E-5</v>
      </c>
      <c r="I36" s="3">
        <f>AVERAGE(I8:I35)</f>
        <v>7.9763432203571423E-5</v>
      </c>
      <c r="J36" s="4" t="s">
        <v>16</v>
      </c>
    </row>
    <row r="37" spans="4:10" x14ac:dyDescent="0.25">
      <c r="G37" s="5">
        <f>MEDIAN(G8:G35)</f>
        <v>1.00432E-6</v>
      </c>
      <c r="H37" s="5">
        <f>MEDIAN(H8:H35)</f>
        <v>3.5158700000000001E-8</v>
      </c>
      <c r="I37" s="5">
        <f>MEDIAN(I8:I35)</f>
        <v>5.1800000000000004E-6</v>
      </c>
      <c r="J37" s="6" t="s">
        <v>17</v>
      </c>
    </row>
    <row r="38" spans="4:10" x14ac:dyDescent="0.25">
      <c r="F38" s="7"/>
      <c r="G38" s="8">
        <f>AVERAGE(G8,G10,G12,G14,G16,G18,G20,G22,G24,G26,G28,G30,G32,G34)</f>
        <v>3.7660000000000002E-5</v>
      </c>
      <c r="H38" s="8">
        <f t="shared" ref="H38:I38" si="0">AVERAGE(H8,H10,H12,H14,H16,H18,H20,H22,H24,H26,H28,H30,H32,H34)</f>
        <v>2.2941521428571429E-5</v>
      </c>
      <c r="I38" s="8">
        <f t="shared" si="0"/>
        <v>1.5904071428571426E-4</v>
      </c>
      <c r="J38" s="9" t="s">
        <v>18</v>
      </c>
    </row>
    <row r="39" spans="4:10" x14ac:dyDescent="0.25">
      <c r="F39" s="7"/>
      <c r="G39" s="8">
        <f>MEDIAN(G8,G10,G12,G14,G16,G18,G20,G22,G24,G26,G28,G30,G32,G34)</f>
        <v>1.6000000000000003E-5</v>
      </c>
      <c r="H39" s="8">
        <f t="shared" ref="H39:I39" si="1">MEDIAN(H8,H10,H12,H14,H16,H18,H20,H22,H24,H26,H28,H30,H32,H34)</f>
        <v>1.235E-6</v>
      </c>
      <c r="I39" s="8">
        <f t="shared" si="1"/>
        <v>2.2050000000000001E-5</v>
      </c>
      <c r="J39" s="6" t="s">
        <v>19</v>
      </c>
    </row>
    <row r="40" spans="4:10" x14ac:dyDescent="0.25">
      <c r="G40" s="10">
        <f>AVERAGE(G9,G11,G13,G15,G17,G19,G21,G23,G25,G27,G29,G31,G33,G35)</f>
        <v>3.180714285714286E-9</v>
      </c>
      <c r="H40" s="10">
        <f t="shared" ref="H40:I40" si="2">AVERAGE(H9,H11,H13,H15,H17,H19,H21,H23,H25,H27,H29,H31,H33,H35)</f>
        <v>3.1472142857142858E-12</v>
      </c>
      <c r="I40" s="10">
        <f t="shared" si="2"/>
        <v>4.8615012142857137E-7</v>
      </c>
      <c r="J40" s="11" t="s">
        <v>20</v>
      </c>
    </row>
    <row r="41" spans="4:10" x14ac:dyDescent="0.25">
      <c r="G41" s="8">
        <f>MEDIAN(G9,G11,G13,G15,G17,G19,G21,G23,G25,G27,G29,G31,G33,G35)</f>
        <v>2.3400000000000002E-9</v>
      </c>
      <c r="H41" s="8">
        <f t="shared" ref="H41" si="3">MEDIAN(H9,H11,H13,H15,H17,H19,H21,H23,H25,H27,H29,H31,H33,H35)</f>
        <v>1.625E-12</v>
      </c>
      <c r="I41" s="8">
        <f>MEDIAN(I9,I11,I13,I15,I17,I19,I21,I23,I25,I27,I29,I31,I33,I35)</f>
        <v>1.4E-8</v>
      </c>
      <c r="J41" s="11" t="s">
        <v>21</v>
      </c>
    </row>
    <row r="42" spans="4:10" x14ac:dyDescent="0.25">
      <c r="G42" s="12" t="s">
        <v>12</v>
      </c>
      <c r="H42" s="13" t="s">
        <v>13</v>
      </c>
      <c r="I42" s="14" t="s">
        <v>14</v>
      </c>
    </row>
  </sheetData>
  <mergeCells count="22">
    <mergeCell ref="D16:D19"/>
    <mergeCell ref="E16:E17"/>
    <mergeCell ref="E18:E19"/>
    <mergeCell ref="D8:D11"/>
    <mergeCell ref="E8:E9"/>
    <mergeCell ref="E10:E11"/>
    <mergeCell ref="D12:D15"/>
    <mergeCell ref="E12:E13"/>
    <mergeCell ref="E14:E15"/>
    <mergeCell ref="D34:D35"/>
    <mergeCell ref="E34:E35"/>
    <mergeCell ref="D26:D29"/>
    <mergeCell ref="E26:E27"/>
    <mergeCell ref="E28:E29"/>
    <mergeCell ref="D30:D33"/>
    <mergeCell ref="E30:E31"/>
    <mergeCell ref="E32:E33"/>
    <mergeCell ref="D20:D21"/>
    <mergeCell ref="E20:E21"/>
    <mergeCell ref="D22:D25"/>
    <mergeCell ref="E22:E23"/>
    <mergeCell ref="E24:E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Afonso Costa Henrique</dc:creator>
  <cp:lastModifiedBy>Afonso Costa Henrique</cp:lastModifiedBy>
  <dcterms:created xsi:type="dcterms:W3CDTF">2025-07-22T16:56:11Z</dcterms:created>
  <dcterms:modified xsi:type="dcterms:W3CDTF">2026-04-27T17:03:21Z</dcterms:modified>
</cp:coreProperties>
</file>