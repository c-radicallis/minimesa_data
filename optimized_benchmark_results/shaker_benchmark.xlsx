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fons\OneDrive - Universidade de Lisboa\Controlo de Plataforma Sismica\minimesa_data\optimized_benchmark_results\"/>
    </mc:Choice>
  </mc:AlternateContent>
  <xr:revisionPtr revIDLastSave="0" documentId="13_ncr:1_{5F619F89-21D4-4477-96DA-D1A215BD67D2}" xr6:coauthVersionLast="47" xr6:coauthVersionMax="47" xr10:uidLastSave="{00000000-0000-0000-0000-000000000000}"/>
  <bookViews>
    <workbookView xWindow="28740" yWindow="-60" windowWidth="28920" windowHeight="16320" xr2:uid="{40A5E321-79F6-4163-A8DE-342D0D4D7873}"/>
  </bookViews>
  <sheets>
    <sheet name="comJiji" sheetId="3" r:id="rId1"/>
    <sheet name="Folha1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0" i="3" l="1"/>
  <c r="H40" i="3"/>
  <c r="I40" i="3"/>
  <c r="G41" i="3"/>
  <c r="H41" i="3"/>
  <c r="I41" i="3"/>
  <c r="G42" i="3"/>
  <c r="H42" i="3"/>
  <c r="I42" i="3"/>
  <c r="G43" i="3"/>
  <c r="H43" i="3"/>
  <c r="I43" i="3"/>
  <c r="G44" i="3"/>
  <c r="H44" i="3"/>
  <c r="I44" i="3"/>
  <c r="G45" i="3"/>
  <c r="H45" i="3"/>
  <c r="I45" i="3"/>
  <c r="I41" i="1"/>
  <c r="H41" i="1"/>
  <c r="H40" i="1"/>
  <c r="I40" i="1"/>
  <c r="H39" i="1"/>
  <c r="I39" i="1"/>
  <c r="H38" i="1"/>
  <c r="I38" i="1"/>
  <c r="G41" i="1"/>
  <c r="G40" i="1"/>
  <c r="G39" i="1"/>
  <c r="G38" i="1"/>
  <c r="H36" i="1"/>
  <c r="H37" i="1"/>
  <c r="I37" i="1"/>
  <c r="G37" i="1"/>
  <c r="I36" i="1"/>
  <c r="G36" i="1"/>
</calcChain>
</file>

<file path=xl/sharedStrings.xml><?xml version="1.0" encoding="utf-8"?>
<sst xmlns="http://schemas.openxmlformats.org/spreadsheetml/2006/main" count="131" uniqueCount="23">
  <si>
    <t>N</t>
  </si>
  <si>
    <t>P</t>
  </si>
  <si>
    <t>acc</t>
  </si>
  <si>
    <t>disp</t>
  </si>
  <si>
    <t>Erzikan</t>
  </si>
  <si>
    <t>El Centro</t>
  </si>
  <si>
    <t>Kobe</t>
  </si>
  <si>
    <t>L'Aquila</t>
  </si>
  <si>
    <t>Newhall</t>
  </si>
  <si>
    <t>Rinaldi</t>
  </si>
  <si>
    <t>Sylmar</t>
  </si>
  <si>
    <t>Tolmezzo</t>
  </si>
  <si>
    <t>PIDF</t>
  </si>
  <si>
    <t>Optimal Control</t>
  </si>
  <si>
    <t>Adapted</t>
  </si>
  <si>
    <t>Adapted Driver (3rd)</t>
  </si>
  <si>
    <t>média MSE Accel &amp; Disp</t>
  </si>
  <si>
    <t>mediana MSE Accel &amp; Disp</t>
  </si>
  <si>
    <t>média MSE Accel</t>
  </si>
  <si>
    <t>mediana MSE Accel</t>
  </si>
  <si>
    <t>média MSE Disp</t>
  </si>
  <si>
    <t>mediana MSE Disp</t>
  </si>
  <si>
    <t>Jiji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</si>
</sst>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0" xfId="0" applyAlignment="1">
      <alignment horizontal="center" vertical="center"/>
    </xf>
    <xf numFmtId="11" fontId="0" fillId="0" borderId="0" xfId="0" applyNumberFormat="1" applyAlignment="1">
      <alignment horizontal="center" vertical="center"/>
    </xf>
    <xf numFmtId="11" fontId="0" fillId="3" borderId="0" xfId="0" applyNumberFormat="1" applyFill="1" applyAlignment="1">
      <alignment horizontal="center" vertical="center"/>
    </xf>
    <xf numFmtId="0" fontId="0" fillId="3" borderId="0" xfId="0" applyFill="1"/>
    <xf numFmtId="11" fontId="0" fillId="2" borderId="0" xfId="0" applyNumberFormat="1" applyFill="1" applyAlignment="1">
      <alignment horizontal="center" vertical="center"/>
    </xf>
    <xf numFmtId="0" fontId="0" fillId="2" borderId="0" xfId="0" applyFill="1"/>
    <xf numFmtId="0" fontId="0" fillId="0" borderId="0" xfId="0" applyAlignment="1">
      <alignment vertical="center"/>
    </xf>
    <xf numFmtId="11" fontId="0" fillId="4" borderId="0" xfId="0" applyNumberFormat="1" applyFill="1" applyAlignment="1">
      <alignment horizontal="center" vertical="center"/>
    </xf>
    <xf numFmtId="0" fontId="0" fillId="4" borderId="0" xfId="0" applyFill="1"/>
    <xf numFmtId="11" fontId="0" fillId="5" borderId="0" xfId="0" applyNumberFormat="1" applyFill="1" applyAlignment="1">
      <alignment horizontal="center" vertical="center"/>
    </xf>
    <xf numFmtId="0" fontId="0" fillId="5" borderId="0" xfId="0" applyFill="1"/>
    <xf numFmtId="0" fontId="0" fillId="6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Fill="1"/>
    <xf numFmtId="0" fontId="0" fillId="0" borderId="0" xfId="0" applyFill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PT">
                <a:solidFill>
                  <a:schemeClr val="tx1"/>
                </a:solidFill>
              </a:rPr>
              <a:t>Acceleration</a:t>
            </a:r>
            <a:r>
              <a:rPr lang="pt-PT" baseline="0">
                <a:solidFill>
                  <a:schemeClr val="tx1"/>
                </a:solidFill>
              </a:rPr>
              <a:t> response spectrum MSE vs control strategy for various seismic signals</a:t>
            </a:r>
            <a:endParaRPr lang="pt-PT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comJiji!$G$7</c:f>
              <c:strCache>
                <c:ptCount val="1"/>
                <c:pt idx="0">
                  <c:v>PIDF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comJiji!$D$8:$F$39</c15:sqref>
                  </c15:fullRef>
                </c:ext>
              </c:extLst>
              <c:f>(comJiji!$D$8:$F$8,comJiji!$D$10:$F$10,comJiji!$D$12:$F$12,comJiji!$D$14:$F$14,comJiji!$D$16:$F$16,comJiji!$D$18:$F$18,comJiji!$D$20:$F$20,comJiji!$D$22:$F$22,comJiji!$D$24:$F$24,comJiji!$D$26:$F$26,comJiji!$D$28:$F$28,comJiji!$D$30:$F$30,comJiji!$D$32:$F$32,comJiji!$D$34:$F$34,comJiji!$D$36:$F$36,comJiji!$D$38:$F$38)</c:f>
              <c:multiLvlStrCache>
                <c:ptCount val="16"/>
                <c:lvl>
                  <c:pt idx="0">
                    <c:v>acc</c:v>
                  </c:pt>
                  <c:pt idx="1">
                    <c:v>acc</c:v>
                  </c:pt>
                  <c:pt idx="2">
                    <c:v>acc</c:v>
                  </c:pt>
                  <c:pt idx="3">
                    <c:v>acc</c:v>
                  </c:pt>
                  <c:pt idx="4">
                    <c:v>acc</c:v>
                  </c:pt>
                  <c:pt idx="5">
                    <c:v>acc</c:v>
                  </c:pt>
                  <c:pt idx="6">
                    <c:v>acc</c:v>
                  </c:pt>
                  <c:pt idx="7">
                    <c:v>acc</c:v>
                  </c:pt>
                  <c:pt idx="8">
                    <c:v>acc</c:v>
                  </c:pt>
                  <c:pt idx="9">
                    <c:v>acc</c:v>
                  </c:pt>
                  <c:pt idx="10">
                    <c:v>acc</c:v>
                  </c:pt>
                  <c:pt idx="11">
                    <c:v>acc</c:v>
                  </c:pt>
                  <c:pt idx="12">
                    <c:v>acc</c:v>
                  </c:pt>
                  <c:pt idx="13">
                    <c:v>acc</c:v>
                  </c:pt>
                  <c:pt idx="14">
                    <c:v>acc</c:v>
                  </c:pt>
                  <c:pt idx="15">
                    <c:v>acc</c:v>
                  </c:pt>
                </c:lvl>
                <c:lvl>
                  <c:pt idx="0">
                    <c:v>N</c:v>
                  </c:pt>
                  <c:pt idx="1">
                    <c:v>P</c:v>
                  </c:pt>
                  <c:pt idx="2">
                    <c:v>N</c:v>
                  </c:pt>
                  <c:pt idx="3">
                    <c:v>P</c:v>
                  </c:pt>
                  <c:pt idx="4">
                    <c:v>N</c:v>
                  </c:pt>
                  <c:pt idx="5">
                    <c:v>P</c:v>
                  </c:pt>
                  <c:pt idx="6">
                    <c:v>N</c:v>
                  </c:pt>
                  <c:pt idx="7">
                    <c:v>P</c:v>
                  </c:pt>
                  <c:pt idx="8">
                    <c:v>N</c:v>
                  </c:pt>
                  <c:pt idx="9">
                    <c:v>N</c:v>
                  </c:pt>
                  <c:pt idx="10">
                    <c:v>P</c:v>
                  </c:pt>
                  <c:pt idx="11">
                    <c:v>N</c:v>
                  </c:pt>
                  <c:pt idx="12">
                    <c:v>P</c:v>
                  </c:pt>
                  <c:pt idx="13">
                    <c:v>N</c:v>
                  </c:pt>
                  <c:pt idx="14">
                    <c:v>P</c:v>
                  </c:pt>
                  <c:pt idx="15">
                    <c:v>N</c:v>
                  </c:pt>
                </c:lvl>
                <c:lvl>
                  <c:pt idx="0">
                    <c:v>El Centro</c:v>
                  </c:pt>
                  <c:pt idx="2">
                    <c:v>Erzikan</c:v>
                  </c:pt>
                  <c:pt idx="4">
                    <c:v>Jiji</c:v>
                  </c:pt>
                  <c:pt idx="6">
                    <c:v>Kobe</c:v>
                  </c:pt>
                  <c:pt idx="8">
                    <c:v>L'Aquila</c:v>
                  </c:pt>
                  <c:pt idx="9">
                    <c:v>Newhall</c:v>
                  </c:pt>
                  <c:pt idx="11">
                    <c:v>Rinaldi</c:v>
                  </c:pt>
                  <c:pt idx="13">
                    <c:v>Sylmar</c:v>
                  </c:pt>
                  <c:pt idx="15">
                    <c:v>Tolmezzo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comJiji!$G$8:$G$39</c15:sqref>
                  </c15:fullRef>
                </c:ext>
              </c:extLst>
              <c:f>(comJiji!$G$8,comJiji!$G$10,comJiji!$G$12,comJiji!$G$14,comJiji!$G$16,comJiji!$G$18,comJiji!$G$20,comJiji!$G$22,comJiji!$G$24,comJiji!$G$26,comJiji!$G$28,comJiji!$G$30,comJiji!$G$32,comJiji!$G$34,comJiji!$G$36,comJiji!$G$38)</c:f>
              <c:numCache>
                <c:formatCode>0.00E+00</c:formatCode>
                <c:ptCount val="16"/>
                <c:pt idx="0">
                  <c:v>5.6199999999999997E-5</c:v>
                </c:pt>
                <c:pt idx="1">
                  <c:v>1.3200000000000001E-5</c:v>
                </c:pt>
                <c:pt idx="2">
                  <c:v>1.9999999999999999E-6</c:v>
                </c:pt>
                <c:pt idx="3">
                  <c:v>4.1099999999999996E-6</c:v>
                </c:pt>
                <c:pt idx="4">
                  <c:v>4.28E-3</c:v>
                </c:pt>
                <c:pt idx="5">
                  <c:v>8.2000000000000003E-2</c:v>
                </c:pt>
                <c:pt idx="6">
                  <c:v>3.1000000000000001E-5</c:v>
                </c:pt>
                <c:pt idx="7">
                  <c:v>2.09E-5</c:v>
                </c:pt>
                <c:pt idx="8">
                  <c:v>1.98E-5</c:v>
                </c:pt>
                <c:pt idx="9">
                  <c:v>1.34E-5</c:v>
                </c:pt>
                <c:pt idx="10">
                  <c:v>6.7499999999999997E-6</c:v>
                </c:pt>
                <c:pt idx="11">
                  <c:v>1.8E-5</c:v>
                </c:pt>
                <c:pt idx="12">
                  <c:v>5.8900000000000002E-5</c:v>
                </c:pt>
                <c:pt idx="13">
                  <c:v>1.8600000000000001E-5</c:v>
                </c:pt>
                <c:pt idx="14">
                  <c:v>4.9799999999999998E-6</c:v>
                </c:pt>
                <c:pt idx="15">
                  <c:v>3.0400000000000002E-4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5FD-4B9D-97FA-E6B30D32ED66}"/>
            </c:ext>
          </c:extLst>
        </c:ser>
        <c:ser>
          <c:idx val="1"/>
          <c:order val="1"/>
          <c:tx>
            <c:strRef>
              <c:f>comJiji!$H$7</c:f>
              <c:strCache>
                <c:ptCount val="1"/>
                <c:pt idx="0">
                  <c:v>Optimal Control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rgbClr val="FFC000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comJiji!$D$8:$F$39</c15:sqref>
                  </c15:fullRef>
                </c:ext>
              </c:extLst>
              <c:f>(comJiji!$D$8:$F$8,comJiji!$D$10:$F$10,comJiji!$D$12:$F$12,comJiji!$D$14:$F$14,comJiji!$D$16:$F$16,comJiji!$D$18:$F$18,comJiji!$D$20:$F$20,comJiji!$D$22:$F$22,comJiji!$D$24:$F$24,comJiji!$D$26:$F$26,comJiji!$D$28:$F$28,comJiji!$D$30:$F$30,comJiji!$D$32:$F$32,comJiji!$D$34:$F$34,comJiji!$D$36:$F$36,comJiji!$D$38:$F$38)</c:f>
              <c:multiLvlStrCache>
                <c:ptCount val="16"/>
                <c:lvl>
                  <c:pt idx="0">
                    <c:v>acc</c:v>
                  </c:pt>
                  <c:pt idx="1">
                    <c:v>acc</c:v>
                  </c:pt>
                  <c:pt idx="2">
                    <c:v>acc</c:v>
                  </c:pt>
                  <c:pt idx="3">
                    <c:v>acc</c:v>
                  </c:pt>
                  <c:pt idx="4">
                    <c:v>acc</c:v>
                  </c:pt>
                  <c:pt idx="5">
                    <c:v>acc</c:v>
                  </c:pt>
                  <c:pt idx="6">
                    <c:v>acc</c:v>
                  </c:pt>
                  <c:pt idx="7">
                    <c:v>acc</c:v>
                  </c:pt>
                  <c:pt idx="8">
                    <c:v>acc</c:v>
                  </c:pt>
                  <c:pt idx="9">
                    <c:v>acc</c:v>
                  </c:pt>
                  <c:pt idx="10">
                    <c:v>acc</c:v>
                  </c:pt>
                  <c:pt idx="11">
                    <c:v>acc</c:v>
                  </c:pt>
                  <c:pt idx="12">
                    <c:v>acc</c:v>
                  </c:pt>
                  <c:pt idx="13">
                    <c:v>acc</c:v>
                  </c:pt>
                  <c:pt idx="14">
                    <c:v>acc</c:v>
                  </c:pt>
                  <c:pt idx="15">
                    <c:v>acc</c:v>
                  </c:pt>
                </c:lvl>
                <c:lvl>
                  <c:pt idx="0">
                    <c:v>N</c:v>
                  </c:pt>
                  <c:pt idx="1">
                    <c:v>P</c:v>
                  </c:pt>
                  <c:pt idx="2">
                    <c:v>N</c:v>
                  </c:pt>
                  <c:pt idx="3">
                    <c:v>P</c:v>
                  </c:pt>
                  <c:pt idx="4">
                    <c:v>N</c:v>
                  </c:pt>
                  <c:pt idx="5">
                    <c:v>P</c:v>
                  </c:pt>
                  <c:pt idx="6">
                    <c:v>N</c:v>
                  </c:pt>
                  <c:pt idx="7">
                    <c:v>P</c:v>
                  </c:pt>
                  <c:pt idx="8">
                    <c:v>N</c:v>
                  </c:pt>
                  <c:pt idx="9">
                    <c:v>N</c:v>
                  </c:pt>
                  <c:pt idx="10">
                    <c:v>P</c:v>
                  </c:pt>
                  <c:pt idx="11">
                    <c:v>N</c:v>
                  </c:pt>
                  <c:pt idx="12">
                    <c:v>P</c:v>
                  </c:pt>
                  <c:pt idx="13">
                    <c:v>N</c:v>
                  </c:pt>
                  <c:pt idx="14">
                    <c:v>P</c:v>
                  </c:pt>
                  <c:pt idx="15">
                    <c:v>N</c:v>
                  </c:pt>
                </c:lvl>
                <c:lvl>
                  <c:pt idx="0">
                    <c:v>El Centro</c:v>
                  </c:pt>
                  <c:pt idx="2">
                    <c:v>Erzikan</c:v>
                  </c:pt>
                  <c:pt idx="4">
                    <c:v>Jiji</c:v>
                  </c:pt>
                  <c:pt idx="6">
                    <c:v>Kobe</c:v>
                  </c:pt>
                  <c:pt idx="8">
                    <c:v>L'Aquila</c:v>
                  </c:pt>
                  <c:pt idx="9">
                    <c:v>Newhall</c:v>
                  </c:pt>
                  <c:pt idx="11">
                    <c:v>Rinaldi</c:v>
                  </c:pt>
                  <c:pt idx="13">
                    <c:v>Sylmar</c:v>
                  </c:pt>
                  <c:pt idx="15">
                    <c:v>Tolmezzo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comJiji!$H$8:$H$39</c15:sqref>
                  </c15:fullRef>
                </c:ext>
              </c:extLst>
              <c:f>(comJiji!$H$8,comJiji!$H$10,comJiji!$H$12,comJiji!$H$14,comJiji!$H$16,comJiji!$H$18,comJiji!$H$20,comJiji!$H$22,comJiji!$H$24,comJiji!$H$26,comJiji!$H$28,comJiji!$H$30,comJiji!$H$32,comJiji!$H$34,comJiji!$H$36,comJiji!$H$38)</c:f>
              <c:numCache>
                <c:formatCode>0.00E+00</c:formatCode>
                <c:ptCount val="16"/>
                <c:pt idx="0">
                  <c:v>1.11E-5</c:v>
                </c:pt>
                <c:pt idx="1">
                  <c:v>3.0199999999999999E-6</c:v>
                </c:pt>
                <c:pt idx="2">
                  <c:v>3.8299999999999998E-7</c:v>
                </c:pt>
                <c:pt idx="3">
                  <c:v>7.0300000000000001E-8</c:v>
                </c:pt>
                <c:pt idx="4">
                  <c:v>2.2100000000000002E-3</c:v>
                </c:pt>
                <c:pt idx="5">
                  <c:v>4.5100000000000001E-2</c:v>
                </c:pt>
                <c:pt idx="6">
                  <c:v>3.0800000000000001E-7</c:v>
                </c:pt>
                <c:pt idx="7">
                  <c:v>1.19E-6</c:v>
                </c:pt>
                <c:pt idx="8">
                  <c:v>4.1199999999999998E-7</c:v>
                </c:pt>
                <c:pt idx="9">
                  <c:v>8.8800000000000001E-7</c:v>
                </c:pt>
                <c:pt idx="10">
                  <c:v>1.61E-6</c:v>
                </c:pt>
                <c:pt idx="11">
                  <c:v>1.91E-5</c:v>
                </c:pt>
                <c:pt idx="12">
                  <c:v>4.32E-5</c:v>
                </c:pt>
                <c:pt idx="13">
                  <c:v>3.0900000000000001E-6</c:v>
                </c:pt>
                <c:pt idx="14">
                  <c:v>4.3000000000000001E-7</c:v>
                </c:pt>
                <c:pt idx="15">
                  <c:v>8.7399999999999997E-5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5FD-4B9D-97FA-E6B30D32ED66}"/>
            </c:ext>
          </c:extLst>
        </c:ser>
        <c:ser>
          <c:idx val="2"/>
          <c:order val="2"/>
          <c:tx>
            <c:strRef>
              <c:f>comJiji!$I$7</c:f>
              <c:strCache>
                <c:ptCount val="1"/>
                <c:pt idx="0">
                  <c:v>Adapted Driver (3rd)</c:v>
                </c:pt>
              </c:strCache>
            </c:strRef>
          </c:tx>
          <c:spPr>
            <a:ln w="28575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rgbClr val="00B0F0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comJiji!$D$8:$F$39</c15:sqref>
                  </c15:fullRef>
                </c:ext>
              </c:extLst>
              <c:f>(comJiji!$D$8:$F$8,comJiji!$D$10:$F$10,comJiji!$D$12:$F$12,comJiji!$D$14:$F$14,comJiji!$D$16:$F$16,comJiji!$D$18:$F$18,comJiji!$D$20:$F$20,comJiji!$D$22:$F$22,comJiji!$D$24:$F$24,comJiji!$D$26:$F$26,comJiji!$D$28:$F$28,comJiji!$D$30:$F$30,comJiji!$D$32:$F$32,comJiji!$D$34:$F$34,comJiji!$D$36:$F$36,comJiji!$D$38:$F$38)</c:f>
              <c:multiLvlStrCache>
                <c:ptCount val="16"/>
                <c:lvl>
                  <c:pt idx="0">
                    <c:v>acc</c:v>
                  </c:pt>
                  <c:pt idx="1">
                    <c:v>acc</c:v>
                  </c:pt>
                  <c:pt idx="2">
                    <c:v>acc</c:v>
                  </c:pt>
                  <c:pt idx="3">
                    <c:v>acc</c:v>
                  </c:pt>
                  <c:pt idx="4">
                    <c:v>acc</c:v>
                  </c:pt>
                  <c:pt idx="5">
                    <c:v>acc</c:v>
                  </c:pt>
                  <c:pt idx="6">
                    <c:v>acc</c:v>
                  </c:pt>
                  <c:pt idx="7">
                    <c:v>acc</c:v>
                  </c:pt>
                  <c:pt idx="8">
                    <c:v>acc</c:v>
                  </c:pt>
                  <c:pt idx="9">
                    <c:v>acc</c:v>
                  </c:pt>
                  <c:pt idx="10">
                    <c:v>acc</c:v>
                  </c:pt>
                  <c:pt idx="11">
                    <c:v>acc</c:v>
                  </c:pt>
                  <c:pt idx="12">
                    <c:v>acc</c:v>
                  </c:pt>
                  <c:pt idx="13">
                    <c:v>acc</c:v>
                  </c:pt>
                  <c:pt idx="14">
                    <c:v>acc</c:v>
                  </c:pt>
                  <c:pt idx="15">
                    <c:v>acc</c:v>
                  </c:pt>
                </c:lvl>
                <c:lvl>
                  <c:pt idx="0">
                    <c:v>N</c:v>
                  </c:pt>
                  <c:pt idx="1">
                    <c:v>P</c:v>
                  </c:pt>
                  <c:pt idx="2">
                    <c:v>N</c:v>
                  </c:pt>
                  <c:pt idx="3">
                    <c:v>P</c:v>
                  </c:pt>
                  <c:pt idx="4">
                    <c:v>N</c:v>
                  </c:pt>
                  <c:pt idx="5">
                    <c:v>P</c:v>
                  </c:pt>
                  <c:pt idx="6">
                    <c:v>N</c:v>
                  </c:pt>
                  <c:pt idx="7">
                    <c:v>P</c:v>
                  </c:pt>
                  <c:pt idx="8">
                    <c:v>N</c:v>
                  </c:pt>
                  <c:pt idx="9">
                    <c:v>N</c:v>
                  </c:pt>
                  <c:pt idx="10">
                    <c:v>P</c:v>
                  </c:pt>
                  <c:pt idx="11">
                    <c:v>N</c:v>
                  </c:pt>
                  <c:pt idx="12">
                    <c:v>P</c:v>
                  </c:pt>
                  <c:pt idx="13">
                    <c:v>N</c:v>
                  </c:pt>
                  <c:pt idx="14">
                    <c:v>P</c:v>
                  </c:pt>
                  <c:pt idx="15">
                    <c:v>N</c:v>
                  </c:pt>
                </c:lvl>
                <c:lvl>
                  <c:pt idx="0">
                    <c:v>El Centro</c:v>
                  </c:pt>
                  <c:pt idx="2">
                    <c:v>Erzikan</c:v>
                  </c:pt>
                  <c:pt idx="4">
                    <c:v>Jiji</c:v>
                  </c:pt>
                  <c:pt idx="6">
                    <c:v>Kobe</c:v>
                  </c:pt>
                  <c:pt idx="8">
                    <c:v>L'Aquila</c:v>
                  </c:pt>
                  <c:pt idx="9">
                    <c:v>Newhall</c:v>
                  </c:pt>
                  <c:pt idx="11">
                    <c:v>Rinaldi</c:v>
                  </c:pt>
                  <c:pt idx="13">
                    <c:v>Sylmar</c:v>
                  </c:pt>
                  <c:pt idx="15">
                    <c:v>Tolmezzo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comJiji!$I$8:$I$39</c15:sqref>
                  </c15:fullRef>
                </c:ext>
              </c:extLst>
              <c:f>(comJiji!$I$8,comJiji!$I$10,comJiji!$I$12,comJiji!$I$14,comJiji!$I$16,comJiji!$I$18,comJiji!$I$20,comJiji!$I$22,comJiji!$I$24,comJiji!$I$26,comJiji!$I$28,comJiji!$I$30,comJiji!$I$32,comJiji!$I$34,comJiji!$I$36,comJiji!$I$38)</c:f>
              <c:numCache>
                <c:formatCode>0.00E+00</c:formatCode>
                <c:ptCount val="16"/>
                <c:pt idx="0">
                  <c:v>4.9100000000000001E-5</c:v>
                </c:pt>
                <c:pt idx="1">
                  <c:v>9.5999999999999996E-6</c:v>
                </c:pt>
                <c:pt idx="2">
                  <c:v>3.76E-6</c:v>
                </c:pt>
                <c:pt idx="3">
                  <c:v>7.0999999999999998E-6</c:v>
                </c:pt>
                <c:pt idx="4">
                  <c:v>0.17499999999999999</c:v>
                </c:pt>
                <c:pt idx="5">
                  <c:v>0.189</c:v>
                </c:pt>
                <c:pt idx="6">
                  <c:v>1.9000000000000001E-5</c:v>
                </c:pt>
                <c:pt idx="7">
                  <c:v>1.7099999999999999E-5</c:v>
                </c:pt>
                <c:pt idx="8">
                  <c:v>4.0200000000000001E-5</c:v>
                </c:pt>
                <c:pt idx="9">
                  <c:v>1.4399999999999999E-5</c:v>
                </c:pt>
                <c:pt idx="10">
                  <c:v>2.51E-5</c:v>
                </c:pt>
                <c:pt idx="11">
                  <c:v>3.8999999999999999E-5</c:v>
                </c:pt>
                <c:pt idx="12">
                  <c:v>6.4999999999999994E-5</c:v>
                </c:pt>
                <c:pt idx="13">
                  <c:v>5.0099999999999998E-5</c:v>
                </c:pt>
                <c:pt idx="14">
                  <c:v>9.8099999999999992E-6</c:v>
                </c:pt>
                <c:pt idx="15">
                  <c:v>1.67E-3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5FD-4B9D-97FA-E6B30D32ED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30024880"/>
        <c:axId val="1230026800"/>
      </c:lineChart>
      <c:catAx>
        <c:axId val="12300248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230026800"/>
        <c:crosses val="autoZero"/>
        <c:auto val="1"/>
        <c:lblAlgn val="ctr"/>
        <c:lblOffset val="100"/>
        <c:noMultiLvlLbl val="0"/>
      </c:catAx>
      <c:valAx>
        <c:axId val="1230026800"/>
        <c:scaling>
          <c:logBase val="10"/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PT" sz="1200" b="0" i="0" u="none" strike="noStrike" kern="1200" baseline="0">
                    <a:solidFill>
                      <a:schemeClr val="tx1"/>
                    </a:solidFill>
                  </a:rPr>
                  <a:t>Acceleration Response Spectrum MSE (m/s^2)</a:t>
                </a:r>
                <a:endParaRPr lang="pt-PT" sz="120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PT"/>
            </a:p>
          </c:txPr>
        </c:title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230024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P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PT" baseline="0">
                <a:solidFill>
                  <a:schemeClr val="tx1"/>
                </a:solidFill>
              </a:rPr>
              <a:t>Displacement response spectrum MSE vs control strategy for various seismic signals</a:t>
            </a:r>
            <a:endParaRPr lang="pt-PT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comJiji!$G$7</c:f>
              <c:strCache>
                <c:ptCount val="1"/>
                <c:pt idx="0">
                  <c:v>PIDF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comJiji!$D$8:$F$39</c15:sqref>
                  </c15:fullRef>
                </c:ext>
              </c:extLst>
              <c:f>(comJiji!$D$9:$F$9,comJiji!$D$11:$F$11,comJiji!$D$13:$F$13,comJiji!$D$15:$F$15,comJiji!$D$17:$F$17,comJiji!$D$19:$F$19,comJiji!$D$21:$F$21,comJiji!$D$23:$F$23,comJiji!$D$25:$F$25,comJiji!$D$27:$F$27,comJiji!$D$29:$F$29,comJiji!$D$31:$F$31,comJiji!$D$33:$F$33,comJiji!$D$35:$F$35,comJiji!$D$37:$F$37,comJiji!$D$39:$F$39)</c:f>
              <c:multiLvlStrCache>
                <c:ptCount val="16"/>
                <c:lvl>
                  <c:pt idx="0">
                    <c:v>disp</c:v>
                  </c:pt>
                  <c:pt idx="1">
                    <c:v>disp</c:v>
                  </c:pt>
                  <c:pt idx="2">
                    <c:v>disp</c:v>
                  </c:pt>
                  <c:pt idx="3">
                    <c:v>disp</c:v>
                  </c:pt>
                  <c:pt idx="4">
                    <c:v>disp</c:v>
                  </c:pt>
                  <c:pt idx="5">
                    <c:v>disp</c:v>
                  </c:pt>
                  <c:pt idx="6">
                    <c:v>disp</c:v>
                  </c:pt>
                  <c:pt idx="7">
                    <c:v>disp</c:v>
                  </c:pt>
                  <c:pt idx="8">
                    <c:v>disp</c:v>
                  </c:pt>
                  <c:pt idx="9">
                    <c:v>disp</c:v>
                  </c:pt>
                  <c:pt idx="10">
                    <c:v>disp</c:v>
                  </c:pt>
                  <c:pt idx="11">
                    <c:v>disp</c:v>
                  </c:pt>
                  <c:pt idx="12">
                    <c:v>disp</c:v>
                  </c:pt>
                  <c:pt idx="13">
                    <c:v>disp</c:v>
                  </c:pt>
                  <c:pt idx="14">
                    <c:v>disp</c:v>
                  </c:pt>
                  <c:pt idx="15">
                    <c:v>disp</c:v>
                  </c:pt>
                </c:lvl>
                <c:lvl/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comJiji!$G$8:$G$39</c15:sqref>
                  </c15:fullRef>
                </c:ext>
              </c:extLst>
              <c:f>(comJiji!$G$9,comJiji!$G$11,comJiji!$G$13,comJiji!$G$15,comJiji!$G$17,comJiji!$G$19,comJiji!$G$21,comJiji!$G$23,comJiji!$G$25,comJiji!$G$27,comJiji!$G$29,comJiji!$G$31,comJiji!$G$33,comJiji!$G$35,comJiji!$G$37,comJiji!$G$39)</c:f>
              <c:numCache>
                <c:formatCode>0.00E+00</c:formatCode>
                <c:ptCount val="16"/>
                <c:pt idx="0">
                  <c:v>6E-10</c:v>
                </c:pt>
                <c:pt idx="1">
                  <c:v>3.4699999999999999E-10</c:v>
                </c:pt>
                <c:pt idx="2">
                  <c:v>1.9800000000000002E-9</c:v>
                </c:pt>
                <c:pt idx="3">
                  <c:v>9.1099999999999996E-10</c:v>
                </c:pt>
                <c:pt idx="4">
                  <c:v>1.71E-10</c:v>
                </c:pt>
                <c:pt idx="5">
                  <c:v>3.8699999999999999E-11</c:v>
                </c:pt>
                <c:pt idx="6">
                  <c:v>6.4400000000000001E-9</c:v>
                </c:pt>
                <c:pt idx="7">
                  <c:v>4.8499999999999996E-9</c:v>
                </c:pt>
                <c:pt idx="8">
                  <c:v>5.6299999999999998E-9</c:v>
                </c:pt>
                <c:pt idx="9">
                  <c:v>3.9700000000000001E-9</c:v>
                </c:pt>
                <c:pt idx="10">
                  <c:v>3.8200000000000003E-10</c:v>
                </c:pt>
                <c:pt idx="11">
                  <c:v>7.1699999999999998E-9</c:v>
                </c:pt>
                <c:pt idx="12">
                  <c:v>1.85E-9</c:v>
                </c:pt>
                <c:pt idx="13">
                  <c:v>2.7000000000000002E-9</c:v>
                </c:pt>
                <c:pt idx="14">
                  <c:v>1.38E-9</c:v>
                </c:pt>
                <c:pt idx="15">
                  <c:v>8.6399999999999999E-9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07A-40F2-BEDD-F1A63840F746}"/>
            </c:ext>
          </c:extLst>
        </c:ser>
        <c:ser>
          <c:idx val="1"/>
          <c:order val="1"/>
          <c:tx>
            <c:strRef>
              <c:f>comJiji!$H$7</c:f>
              <c:strCache>
                <c:ptCount val="1"/>
                <c:pt idx="0">
                  <c:v>Optimal Control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rgbClr val="FFC000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comJiji!$D$8:$F$39</c15:sqref>
                  </c15:fullRef>
                </c:ext>
              </c:extLst>
              <c:f>(comJiji!$D$9:$F$9,comJiji!$D$11:$F$11,comJiji!$D$13:$F$13,comJiji!$D$15:$F$15,comJiji!$D$17:$F$17,comJiji!$D$19:$F$19,comJiji!$D$21:$F$21,comJiji!$D$23:$F$23,comJiji!$D$25:$F$25,comJiji!$D$27:$F$27,comJiji!$D$29:$F$29,comJiji!$D$31:$F$31,comJiji!$D$33:$F$33,comJiji!$D$35:$F$35,comJiji!$D$37:$F$37,comJiji!$D$39:$F$39)</c:f>
              <c:multiLvlStrCache>
                <c:ptCount val="16"/>
                <c:lvl>
                  <c:pt idx="0">
                    <c:v>disp</c:v>
                  </c:pt>
                  <c:pt idx="1">
                    <c:v>disp</c:v>
                  </c:pt>
                  <c:pt idx="2">
                    <c:v>disp</c:v>
                  </c:pt>
                  <c:pt idx="3">
                    <c:v>disp</c:v>
                  </c:pt>
                  <c:pt idx="4">
                    <c:v>disp</c:v>
                  </c:pt>
                  <c:pt idx="5">
                    <c:v>disp</c:v>
                  </c:pt>
                  <c:pt idx="6">
                    <c:v>disp</c:v>
                  </c:pt>
                  <c:pt idx="7">
                    <c:v>disp</c:v>
                  </c:pt>
                  <c:pt idx="8">
                    <c:v>disp</c:v>
                  </c:pt>
                  <c:pt idx="9">
                    <c:v>disp</c:v>
                  </c:pt>
                  <c:pt idx="10">
                    <c:v>disp</c:v>
                  </c:pt>
                  <c:pt idx="11">
                    <c:v>disp</c:v>
                  </c:pt>
                  <c:pt idx="12">
                    <c:v>disp</c:v>
                  </c:pt>
                  <c:pt idx="13">
                    <c:v>disp</c:v>
                  </c:pt>
                  <c:pt idx="14">
                    <c:v>disp</c:v>
                  </c:pt>
                  <c:pt idx="15">
                    <c:v>disp</c:v>
                  </c:pt>
                </c:lvl>
                <c:lvl/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comJiji!$H$8:$H$39</c15:sqref>
                  </c15:fullRef>
                </c:ext>
              </c:extLst>
              <c:f>(comJiji!$H$9,comJiji!$H$11,comJiji!$H$13,comJiji!$H$15,comJiji!$H$17,comJiji!$H$19,comJiji!$H$21,comJiji!$H$23,comJiji!$H$25,comJiji!$H$27,comJiji!$H$29,comJiji!$H$31,comJiji!$H$33,comJiji!$H$35,comJiji!$H$37,comJiji!$H$39)</c:f>
              <c:numCache>
                <c:formatCode>0.00E+00</c:formatCode>
                <c:ptCount val="16"/>
                <c:pt idx="0">
                  <c:v>1.5900000000000001E-12</c:v>
                </c:pt>
                <c:pt idx="1">
                  <c:v>2.3499999999999999E-12</c:v>
                </c:pt>
                <c:pt idx="2">
                  <c:v>1.42E-12</c:v>
                </c:pt>
                <c:pt idx="3">
                  <c:v>6.5600000000000003E-13</c:v>
                </c:pt>
                <c:pt idx="4">
                  <c:v>1.25E-14</c:v>
                </c:pt>
                <c:pt idx="5">
                  <c:v>3.6199999999999997E-15</c:v>
                </c:pt>
                <c:pt idx="6">
                  <c:v>8.4400000000000004E-13</c:v>
                </c:pt>
                <c:pt idx="7">
                  <c:v>5.4200000000000001E-13</c:v>
                </c:pt>
                <c:pt idx="8">
                  <c:v>1.66E-12</c:v>
                </c:pt>
                <c:pt idx="9">
                  <c:v>2.2100000000000001E-12</c:v>
                </c:pt>
                <c:pt idx="10">
                  <c:v>2.4099999999999998E-13</c:v>
                </c:pt>
                <c:pt idx="11">
                  <c:v>4.7200000000000001E-12</c:v>
                </c:pt>
                <c:pt idx="12">
                  <c:v>1.24E-12</c:v>
                </c:pt>
                <c:pt idx="13">
                  <c:v>9.3199999999999999E-12</c:v>
                </c:pt>
                <c:pt idx="14">
                  <c:v>1.9899999999999998E-12</c:v>
                </c:pt>
                <c:pt idx="15">
                  <c:v>1.7399999999999999E-11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07A-40F2-BEDD-F1A63840F746}"/>
            </c:ext>
          </c:extLst>
        </c:ser>
        <c:ser>
          <c:idx val="2"/>
          <c:order val="2"/>
          <c:tx>
            <c:strRef>
              <c:f>comJiji!$I$7</c:f>
              <c:strCache>
                <c:ptCount val="1"/>
                <c:pt idx="0">
                  <c:v>Adapted Driver (3rd)</c:v>
                </c:pt>
              </c:strCache>
            </c:strRef>
          </c:tx>
          <c:spPr>
            <a:ln w="28575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rgbClr val="00B0F0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comJiji!$D$8:$F$39</c15:sqref>
                  </c15:fullRef>
                </c:ext>
              </c:extLst>
              <c:f>(comJiji!$D$9:$F$9,comJiji!$D$11:$F$11,comJiji!$D$13:$F$13,comJiji!$D$15:$F$15,comJiji!$D$17:$F$17,comJiji!$D$19:$F$19,comJiji!$D$21:$F$21,comJiji!$D$23:$F$23,comJiji!$D$25:$F$25,comJiji!$D$27:$F$27,comJiji!$D$29:$F$29,comJiji!$D$31:$F$31,comJiji!$D$33:$F$33,comJiji!$D$35:$F$35,comJiji!$D$37:$F$37,comJiji!$D$39:$F$39)</c:f>
              <c:multiLvlStrCache>
                <c:ptCount val="16"/>
                <c:lvl>
                  <c:pt idx="0">
                    <c:v>disp</c:v>
                  </c:pt>
                  <c:pt idx="1">
                    <c:v>disp</c:v>
                  </c:pt>
                  <c:pt idx="2">
                    <c:v>disp</c:v>
                  </c:pt>
                  <c:pt idx="3">
                    <c:v>disp</c:v>
                  </c:pt>
                  <c:pt idx="4">
                    <c:v>disp</c:v>
                  </c:pt>
                  <c:pt idx="5">
                    <c:v>disp</c:v>
                  </c:pt>
                  <c:pt idx="6">
                    <c:v>disp</c:v>
                  </c:pt>
                  <c:pt idx="7">
                    <c:v>disp</c:v>
                  </c:pt>
                  <c:pt idx="8">
                    <c:v>disp</c:v>
                  </c:pt>
                  <c:pt idx="9">
                    <c:v>disp</c:v>
                  </c:pt>
                  <c:pt idx="10">
                    <c:v>disp</c:v>
                  </c:pt>
                  <c:pt idx="11">
                    <c:v>disp</c:v>
                  </c:pt>
                  <c:pt idx="12">
                    <c:v>disp</c:v>
                  </c:pt>
                  <c:pt idx="13">
                    <c:v>disp</c:v>
                  </c:pt>
                  <c:pt idx="14">
                    <c:v>disp</c:v>
                  </c:pt>
                  <c:pt idx="15">
                    <c:v>disp</c:v>
                  </c:pt>
                </c:lvl>
                <c:lvl/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comJiji!$I$8:$I$39</c15:sqref>
                  </c15:fullRef>
                </c:ext>
              </c:extLst>
              <c:f>(comJiji!$I$9,comJiji!$I$11,comJiji!$I$13,comJiji!$I$15,comJiji!$I$17,comJiji!$I$19,comJiji!$I$21,comJiji!$I$23,comJiji!$I$25,comJiji!$I$27,comJiji!$I$29,comJiji!$I$31,comJiji!$I$33,comJiji!$I$35,comJiji!$I$37,comJiji!$I$39)</c:f>
              <c:numCache>
                <c:formatCode>0.00E+00</c:formatCode>
                <c:ptCount val="16"/>
                <c:pt idx="0">
                  <c:v>5.6800000000000002E-9</c:v>
                </c:pt>
                <c:pt idx="1">
                  <c:v>1.42E-8</c:v>
                </c:pt>
                <c:pt idx="2">
                  <c:v>6.6000000000000003E-6</c:v>
                </c:pt>
                <c:pt idx="3">
                  <c:v>6.1700000000000004E-11</c:v>
                </c:pt>
                <c:pt idx="4">
                  <c:v>2.5299999999999998E-5</c:v>
                </c:pt>
                <c:pt idx="5">
                  <c:v>1.34E-5</c:v>
                </c:pt>
                <c:pt idx="6">
                  <c:v>1.3799999999999999E-8</c:v>
                </c:pt>
                <c:pt idx="7">
                  <c:v>1.14E-8</c:v>
                </c:pt>
                <c:pt idx="8">
                  <c:v>1.4100000000000001E-8</c:v>
                </c:pt>
                <c:pt idx="9">
                  <c:v>1.4E-8</c:v>
                </c:pt>
                <c:pt idx="10">
                  <c:v>2.81E-9</c:v>
                </c:pt>
                <c:pt idx="11">
                  <c:v>2.1400000000000001E-10</c:v>
                </c:pt>
                <c:pt idx="12">
                  <c:v>3.5000000000000002E-8</c:v>
                </c:pt>
                <c:pt idx="13">
                  <c:v>1.4E-8</c:v>
                </c:pt>
                <c:pt idx="14">
                  <c:v>5.1499999999999998E-9</c:v>
                </c:pt>
                <c:pt idx="15">
                  <c:v>1.4100000000000001E-8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07A-40F2-BEDD-F1A63840F7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30024880"/>
        <c:axId val="1230026800"/>
      </c:lineChart>
      <c:catAx>
        <c:axId val="12300248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230026800"/>
        <c:crosses val="autoZero"/>
        <c:auto val="1"/>
        <c:lblAlgn val="ctr"/>
        <c:lblOffset val="100"/>
        <c:noMultiLvlLbl val="0"/>
      </c:catAx>
      <c:valAx>
        <c:axId val="1230026800"/>
        <c:scaling>
          <c:logBase val="10"/>
          <c:orientation val="minMax"/>
          <c:max val="1.0000000000000003E-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PT" sz="1200">
                    <a:solidFill>
                      <a:schemeClr val="tx1"/>
                    </a:solidFill>
                  </a:rPr>
                  <a:t>Displacement</a:t>
                </a:r>
                <a:r>
                  <a:rPr lang="pt-PT" sz="1200" baseline="0">
                    <a:solidFill>
                      <a:schemeClr val="tx1"/>
                    </a:solidFill>
                  </a:rPr>
                  <a:t> Response Spectrum MSE (m)</a:t>
                </a:r>
                <a:endParaRPr lang="pt-PT" sz="120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PT"/>
            </a:p>
          </c:txPr>
        </c:title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230024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P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PT" baseline="0">
                <a:solidFill>
                  <a:schemeClr val="tx1"/>
                </a:solidFill>
              </a:rPr>
              <a:t>Mean &amp; Average Statistics for all seismic signals</a:t>
            </a:r>
            <a:endParaRPr lang="pt-PT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comJiji!$G$7</c:f>
              <c:strCache>
                <c:ptCount val="1"/>
                <c:pt idx="0">
                  <c:v>PIDF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noFill/>
              <a:ln w="9525">
                <a:solidFill>
                  <a:srgbClr val="FF0000"/>
                </a:solidFill>
              </a:ln>
              <a:effectLst/>
            </c:spPr>
          </c:marker>
          <c:cat>
            <c:strRef>
              <c:f>comJiji!$J$40:$J$45</c:f>
              <c:strCache>
                <c:ptCount val="6"/>
                <c:pt idx="0">
                  <c:v>média MSE Accel &amp; Disp</c:v>
                </c:pt>
                <c:pt idx="1">
                  <c:v>mediana MSE Accel &amp; Disp</c:v>
                </c:pt>
                <c:pt idx="2">
                  <c:v>média MSE Accel</c:v>
                </c:pt>
                <c:pt idx="3">
                  <c:v>mediana MSE Accel</c:v>
                </c:pt>
                <c:pt idx="4">
                  <c:v>média MSE Disp</c:v>
                </c:pt>
                <c:pt idx="5">
                  <c:v>mediana MSE Disp</c:v>
                </c:pt>
              </c:strCache>
            </c:strRef>
          </c:cat>
          <c:val>
            <c:numRef>
              <c:f>comJiji!$G$40:$G$45</c:f>
              <c:numCache>
                <c:formatCode>0.00E+00</c:formatCode>
                <c:ptCount val="6"/>
                <c:pt idx="0">
                  <c:v>2.7141214706156249E-3</c:v>
                </c:pt>
                <c:pt idx="1">
                  <c:v>1.00432E-6</c:v>
                </c:pt>
                <c:pt idx="2">
                  <c:v>5.42824E-3</c:v>
                </c:pt>
                <c:pt idx="3">
                  <c:v>1.9199999999999999E-5</c:v>
                </c:pt>
                <c:pt idx="4">
                  <c:v>2.9412312500000006E-9</c:v>
                </c:pt>
                <c:pt idx="5">
                  <c:v>1.9150000000000001E-9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949-4F6F-B138-3C7885DF6E94}"/>
            </c:ext>
          </c:extLst>
        </c:ser>
        <c:ser>
          <c:idx val="1"/>
          <c:order val="1"/>
          <c:tx>
            <c:strRef>
              <c:f>comJiji!$H$7</c:f>
              <c:strCache>
                <c:ptCount val="1"/>
                <c:pt idx="0">
                  <c:v>Optimal Control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circle"/>
            <c:size val="5"/>
            <c:spPr>
              <a:noFill/>
              <a:ln w="9525">
                <a:solidFill>
                  <a:srgbClr val="FF0000"/>
                </a:solidFill>
              </a:ln>
              <a:effectLst/>
            </c:spPr>
          </c:marker>
          <c:cat>
            <c:strRef>
              <c:f>comJiji!$J$40:$J$45</c:f>
              <c:strCache>
                <c:ptCount val="6"/>
                <c:pt idx="0">
                  <c:v>média MSE Accel &amp; Disp</c:v>
                </c:pt>
                <c:pt idx="1">
                  <c:v>mediana MSE Accel &amp; Disp</c:v>
                </c:pt>
                <c:pt idx="2">
                  <c:v>média MSE Accel</c:v>
                </c:pt>
                <c:pt idx="3">
                  <c:v>mediana MSE Accel</c:v>
                </c:pt>
                <c:pt idx="4">
                  <c:v>média MSE Disp</c:v>
                </c:pt>
                <c:pt idx="5">
                  <c:v>mediana MSE Disp</c:v>
                </c:pt>
              </c:strCache>
            </c:strRef>
          </c:cat>
          <c:val>
            <c:numRef>
              <c:f>comJiji!$H$40:$H$45</c:f>
              <c:numCache>
                <c:formatCode>0.00E+00</c:formatCode>
                <c:ptCount val="6"/>
                <c:pt idx="0">
                  <c:v>1.4838187920687225E-3</c:v>
                </c:pt>
                <c:pt idx="1">
                  <c:v>3.5158700000000001E-8</c:v>
                </c:pt>
                <c:pt idx="2">
                  <c:v>2.9676375812499995E-3</c:v>
                </c:pt>
                <c:pt idx="3">
                  <c:v>2.3149999999999999E-6</c:v>
                </c:pt>
                <c:pt idx="4">
                  <c:v>2.8874450000000001E-12</c:v>
                </c:pt>
                <c:pt idx="5">
                  <c:v>1.5050000000000002E-12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949-4F6F-B138-3C7885DF6E94}"/>
            </c:ext>
          </c:extLst>
        </c:ser>
        <c:ser>
          <c:idx val="2"/>
          <c:order val="2"/>
          <c:tx>
            <c:strRef>
              <c:f>comJiji!$I$7</c:f>
              <c:strCache>
                <c:ptCount val="1"/>
                <c:pt idx="0">
                  <c:v>Adapted Driver (3rd)</c:v>
                </c:pt>
              </c:strCache>
            </c:strRef>
          </c:tx>
          <c:spPr>
            <a:ln w="28575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noFill/>
              <a:ln w="9525">
                <a:solidFill>
                  <a:srgbClr val="00B0F0"/>
                </a:solidFill>
              </a:ln>
              <a:effectLst/>
            </c:spPr>
          </c:marker>
          <c:cat>
            <c:strRef>
              <c:f>comJiji!$J$40:$J$45</c:f>
              <c:strCache>
                <c:ptCount val="6"/>
                <c:pt idx="0">
                  <c:v>média MSE Accel &amp; Disp</c:v>
                </c:pt>
                <c:pt idx="1">
                  <c:v>mediana MSE Accel &amp; Disp</c:v>
                </c:pt>
                <c:pt idx="2">
                  <c:v>média MSE Accel</c:v>
                </c:pt>
                <c:pt idx="3">
                  <c:v>mediana MSE Accel</c:v>
                </c:pt>
                <c:pt idx="4">
                  <c:v>média MSE Disp</c:v>
                </c:pt>
                <c:pt idx="5">
                  <c:v>mediana MSE Disp</c:v>
                </c:pt>
              </c:strCache>
            </c:strRef>
          </c:cat>
          <c:val>
            <c:numRef>
              <c:f>comJiji!$I$40:$I$45</c:f>
              <c:numCache>
                <c:formatCode>0.00E+00</c:formatCode>
                <c:ptCount val="6"/>
                <c:pt idx="0">
                  <c:v>1.1439522328615623E-2</c:v>
                </c:pt>
                <c:pt idx="1">
                  <c:v>8.3499999999999997E-6</c:v>
                </c:pt>
                <c:pt idx="2">
                  <c:v>2.2876204375E-2</c:v>
                </c:pt>
                <c:pt idx="3">
                  <c:v>3.205E-5</c:v>
                </c:pt>
                <c:pt idx="4">
                  <c:v>2.8402822312499994E-6</c:v>
                </c:pt>
                <c:pt idx="5">
                  <c:v>1.4E-8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949-4F6F-B138-3C7885DF6E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30024880"/>
        <c:axId val="1230026800"/>
      </c:lineChart>
      <c:catAx>
        <c:axId val="12300248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230026800"/>
        <c:crosses val="autoZero"/>
        <c:auto val="1"/>
        <c:lblAlgn val="ctr"/>
        <c:lblOffset val="100"/>
        <c:noMultiLvlLbl val="0"/>
      </c:catAx>
      <c:valAx>
        <c:axId val="1230026800"/>
        <c:scaling>
          <c:logBase val="10"/>
          <c:orientation val="minMax"/>
          <c:max val="3.0000000000000006E-2"/>
          <c:min val="1.0000000000000006E-1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PT" sz="1200">
                    <a:solidFill>
                      <a:schemeClr val="tx1"/>
                    </a:solidFill>
                  </a:rPr>
                  <a:t>Displacement</a:t>
                </a:r>
                <a:r>
                  <a:rPr lang="pt-PT" sz="1200" baseline="0">
                    <a:solidFill>
                      <a:schemeClr val="tx1"/>
                    </a:solidFill>
                  </a:rPr>
                  <a:t> Response Spectrum MSE (m)</a:t>
                </a:r>
                <a:endParaRPr lang="pt-PT" sz="120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PT"/>
            </a:p>
          </c:txPr>
        </c:title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230024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P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PT">
                <a:solidFill>
                  <a:schemeClr val="tx1"/>
                </a:solidFill>
              </a:rPr>
              <a:t>Acceleration</a:t>
            </a:r>
            <a:r>
              <a:rPr lang="pt-PT" baseline="0">
                <a:solidFill>
                  <a:schemeClr val="tx1"/>
                </a:solidFill>
              </a:rPr>
              <a:t> response spectrum MSE vs control strategy for various seismic signals</a:t>
            </a:r>
            <a:endParaRPr lang="pt-PT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Folha1!$G$7</c:f>
              <c:strCache>
                <c:ptCount val="1"/>
                <c:pt idx="0">
                  <c:v>PIDF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Folha1!$D$8:$F$35</c15:sqref>
                  </c15:fullRef>
                </c:ext>
              </c:extLst>
              <c:f>(Folha1!$D$8:$F$8,Folha1!$D$10:$F$10,Folha1!$D$12:$F$12,Folha1!$D$14:$F$14,Folha1!$D$16:$F$16,Folha1!$D$18:$F$18,Folha1!$D$20:$F$20,Folha1!$D$22:$F$22,Folha1!$D$24:$F$24,Folha1!$D$26:$F$26,Folha1!$D$28:$F$28,Folha1!$D$30:$F$30,Folha1!$D$32:$F$32,Folha1!$D$34:$F$34)</c:f>
              <c:multiLvlStrCache>
                <c:ptCount val="14"/>
                <c:lvl>
                  <c:pt idx="0">
                    <c:v>acc</c:v>
                  </c:pt>
                  <c:pt idx="1">
                    <c:v>acc</c:v>
                  </c:pt>
                  <c:pt idx="2">
                    <c:v>acc</c:v>
                  </c:pt>
                  <c:pt idx="3">
                    <c:v>acc</c:v>
                  </c:pt>
                  <c:pt idx="4">
                    <c:v>acc</c:v>
                  </c:pt>
                  <c:pt idx="5">
                    <c:v>acc</c:v>
                  </c:pt>
                  <c:pt idx="6">
                    <c:v>acc</c:v>
                  </c:pt>
                  <c:pt idx="7">
                    <c:v>acc</c:v>
                  </c:pt>
                  <c:pt idx="8">
                    <c:v>acc</c:v>
                  </c:pt>
                  <c:pt idx="9">
                    <c:v>acc</c:v>
                  </c:pt>
                  <c:pt idx="10">
                    <c:v>acc</c:v>
                  </c:pt>
                  <c:pt idx="11">
                    <c:v>acc</c:v>
                  </c:pt>
                  <c:pt idx="12">
                    <c:v>acc</c:v>
                  </c:pt>
                  <c:pt idx="13">
                    <c:v>acc</c:v>
                  </c:pt>
                </c:lvl>
                <c:lvl>
                  <c:pt idx="0">
                    <c:v>N</c:v>
                  </c:pt>
                  <c:pt idx="1">
                    <c:v>P</c:v>
                  </c:pt>
                  <c:pt idx="2">
                    <c:v>N</c:v>
                  </c:pt>
                  <c:pt idx="3">
                    <c:v>P</c:v>
                  </c:pt>
                  <c:pt idx="4">
                    <c:v>N</c:v>
                  </c:pt>
                  <c:pt idx="5">
                    <c:v>P</c:v>
                  </c:pt>
                  <c:pt idx="6">
                    <c:v>N</c:v>
                  </c:pt>
                  <c:pt idx="7">
                    <c:v>N</c:v>
                  </c:pt>
                  <c:pt idx="8">
                    <c:v>P</c:v>
                  </c:pt>
                  <c:pt idx="9">
                    <c:v>N</c:v>
                  </c:pt>
                  <c:pt idx="10">
                    <c:v>P</c:v>
                  </c:pt>
                  <c:pt idx="11">
                    <c:v>N</c:v>
                  </c:pt>
                  <c:pt idx="12">
                    <c:v>P</c:v>
                  </c:pt>
                  <c:pt idx="13">
                    <c:v>N</c:v>
                  </c:pt>
                </c:lvl>
                <c:lvl>
                  <c:pt idx="0">
                    <c:v>El Centro</c:v>
                  </c:pt>
                  <c:pt idx="2">
                    <c:v>Erzikan</c:v>
                  </c:pt>
                  <c:pt idx="4">
                    <c:v>Kobe</c:v>
                  </c:pt>
                  <c:pt idx="6">
                    <c:v>L'Aquila</c:v>
                  </c:pt>
                  <c:pt idx="7">
                    <c:v>Newhall</c:v>
                  </c:pt>
                  <c:pt idx="9">
                    <c:v>Rinaldi</c:v>
                  </c:pt>
                  <c:pt idx="11">
                    <c:v>Sylmar</c:v>
                  </c:pt>
                  <c:pt idx="13">
                    <c:v>Tolmezzo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Folha1!$G$8:$G$35</c15:sqref>
                  </c15:fullRef>
                </c:ext>
              </c:extLst>
              <c:f>(Folha1!$G$8,Folha1!$G$10,Folha1!$G$12,Folha1!$G$14,Folha1!$G$16,Folha1!$G$18,Folha1!$G$20,Folha1!$G$22,Folha1!$G$24,Folha1!$G$26,Folha1!$G$28,Folha1!$G$30,Folha1!$G$32,Folha1!$G$34)</c:f>
              <c:numCache>
                <c:formatCode>0.00E+00</c:formatCode>
                <c:ptCount val="14"/>
                <c:pt idx="0">
                  <c:v>5.6199999999999997E-5</c:v>
                </c:pt>
                <c:pt idx="1">
                  <c:v>1.3200000000000001E-5</c:v>
                </c:pt>
                <c:pt idx="2">
                  <c:v>1.9999999999999999E-6</c:v>
                </c:pt>
                <c:pt idx="3">
                  <c:v>4.1099999999999996E-6</c:v>
                </c:pt>
                <c:pt idx="4">
                  <c:v>3.1000000000000001E-5</c:v>
                </c:pt>
                <c:pt idx="5">
                  <c:v>2.09E-5</c:v>
                </c:pt>
                <c:pt idx="6">
                  <c:v>1.98E-5</c:v>
                </c:pt>
                <c:pt idx="7">
                  <c:v>1.34E-5</c:v>
                </c:pt>
                <c:pt idx="8">
                  <c:v>6.7499999999999997E-6</c:v>
                </c:pt>
                <c:pt idx="9">
                  <c:v>1.8E-5</c:v>
                </c:pt>
                <c:pt idx="10">
                  <c:v>5.8900000000000002E-5</c:v>
                </c:pt>
                <c:pt idx="11">
                  <c:v>1.8600000000000001E-5</c:v>
                </c:pt>
                <c:pt idx="12">
                  <c:v>4.9799999999999998E-6</c:v>
                </c:pt>
                <c:pt idx="13">
                  <c:v>3.0400000000000002E-4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A05-4E58-AC06-AF98CDCBEC7D}"/>
            </c:ext>
          </c:extLst>
        </c:ser>
        <c:ser>
          <c:idx val="1"/>
          <c:order val="1"/>
          <c:tx>
            <c:strRef>
              <c:f>Folha1!$H$7</c:f>
              <c:strCache>
                <c:ptCount val="1"/>
                <c:pt idx="0">
                  <c:v>Optimal Control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rgbClr val="FFC000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Folha1!$D$8:$F$35</c15:sqref>
                  </c15:fullRef>
                </c:ext>
              </c:extLst>
              <c:f>(Folha1!$D$8:$F$8,Folha1!$D$10:$F$10,Folha1!$D$12:$F$12,Folha1!$D$14:$F$14,Folha1!$D$16:$F$16,Folha1!$D$18:$F$18,Folha1!$D$20:$F$20,Folha1!$D$22:$F$22,Folha1!$D$24:$F$24,Folha1!$D$26:$F$26,Folha1!$D$28:$F$28,Folha1!$D$30:$F$30,Folha1!$D$32:$F$32,Folha1!$D$34:$F$34)</c:f>
              <c:multiLvlStrCache>
                <c:ptCount val="14"/>
                <c:lvl>
                  <c:pt idx="0">
                    <c:v>acc</c:v>
                  </c:pt>
                  <c:pt idx="1">
                    <c:v>acc</c:v>
                  </c:pt>
                  <c:pt idx="2">
                    <c:v>acc</c:v>
                  </c:pt>
                  <c:pt idx="3">
                    <c:v>acc</c:v>
                  </c:pt>
                  <c:pt idx="4">
                    <c:v>acc</c:v>
                  </c:pt>
                  <c:pt idx="5">
                    <c:v>acc</c:v>
                  </c:pt>
                  <c:pt idx="6">
                    <c:v>acc</c:v>
                  </c:pt>
                  <c:pt idx="7">
                    <c:v>acc</c:v>
                  </c:pt>
                  <c:pt idx="8">
                    <c:v>acc</c:v>
                  </c:pt>
                  <c:pt idx="9">
                    <c:v>acc</c:v>
                  </c:pt>
                  <c:pt idx="10">
                    <c:v>acc</c:v>
                  </c:pt>
                  <c:pt idx="11">
                    <c:v>acc</c:v>
                  </c:pt>
                  <c:pt idx="12">
                    <c:v>acc</c:v>
                  </c:pt>
                  <c:pt idx="13">
                    <c:v>acc</c:v>
                  </c:pt>
                </c:lvl>
                <c:lvl>
                  <c:pt idx="0">
                    <c:v>N</c:v>
                  </c:pt>
                  <c:pt idx="1">
                    <c:v>P</c:v>
                  </c:pt>
                  <c:pt idx="2">
                    <c:v>N</c:v>
                  </c:pt>
                  <c:pt idx="3">
                    <c:v>P</c:v>
                  </c:pt>
                  <c:pt idx="4">
                    <c:v>N</c:v>
                  </c:pt>
                  <c:pt idx="5">
                    <c:v>P</c:v>
                  </c:pt>
                  <c:pt idx="6">
                    <c:v>N</c:v>
                  </c:pt>
                  <c:pt idx="7">
                    <c:v>N</c:v>
                  </c:pt>
                  <c:pt idx="8">
                    <c:v>P</c:v>
                  </c:pt>
                  <c:pt idx="9">
                    <c:v>N</c:v>
                  </c:pt>
                  <c:pt idx="10">
                    <c:v>P</c:v>
                  </c:pt>
                  <c:pt idx="11">
                    <c:v>N</c:v>
                  </c:pt>
                  <c:pt idx="12">
                    <c:v>P</c:v>
                  </c:pt>
                  <c:pt idx="13">
                    <c:v>N</c:v>
                  </c:pt>
                </c:lvl>
                <c:lvl>
                  <c:pt idx="0">
                    <c:v>El Centro</c:v>
                  </c:pt>
                  <c:pt idx="2">
                    <c:v>Erzikan</c:v>
                  </c:pt>
                  <c:pt idx="4">
                    <c:v>Kobe</c:v>
                  </c:pt>
                  <c:pt idx="6">
                    <c:v>L'Aquila</c:v>
                  </c:pt>
                  <c:pt idx="7">
                    <c:v>Newhall</c:v>
                  </c:pt>
                  <c:pt idx="9">
                    <c:v>Rinaldi</c:v>
                  </c:pt>
                  <c:pt idx="11">
                    <c:v>Sylmar</c:v>
                  </c:pt>
                  <c:pt idx="13">
                    <c:v>Tolmezzo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Folha1!$H$8:$H$35</c15:sqref>
                  </c15:fullRef>
                </c:ext>
              </c:extLst>
              <c:f>(Folha1!$H$8,Folha1!$H$10,Folha1!$H$12,Folha1!$H$14,Folha1!$H$16,Folha1!$H$18,Folha1!$H$20,Folha1!$H$22,Folha1!$H$24,Folha1!$H$26,Folha1!$H$28,Folha1!$H$30,Folha1!$H$32,Folha1!$H$34)</c:f>
              <c:numCache>
                <c:formatCode>0.00E+00</c:formatCode>
                <c:ptCount val="14"/>
                <c:pt idx="0">
                  <c:v>1.11E-5</c:v>
                </c:pt>
                <c:pt idx="1">
                  <c:v>3.0199999999999999E-6</c:v>
                </c:pt>
                <c:pt idx="2">
                  <c:v>3.8299999999999998E-7</c:v>
                </c:pt>
                <c:pt idx="3">
                  <c:v>7.0300000000000001E-8</c:v>
                </c:pt>
                <c:pt idx="4">
                  <c:v>3.0800000000000001E-7</c:v>
                </c:pt>
                <c:pt idx="5">
                  <c:v>1.19E-6</c:v>
                </c:pt>
                <c:pt idx="6">
                  <c:v>4.1199999999999998E-7</c:v>
                </c:pt>
                <c:pt idx="7">
                  <c:v>8.8800000000000001E-7</c:v>
                </c:pt>
                <c:pt idx="8">
                  <c:v>1.61E-6</c:v>
                </c:pt>
                <c:pt idx="9">
                  <c:v>1.91E-5</c:v>
                </c:pt>
                <c:pt idx="10">
                  <c:v>4.32E-5</c:v>
                </c:pt>
                <c:pt idx="11">
                  <c:v>3.0900000000000001E-6</c:v>
                </c:pt>
                <c:pt idx="12">
                  <c:v>4.3000000000000001E-7</c:v>
                </c:pt>
                <c:pt idx="13">
                  <c:v>8.7399999999999997E-5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A05-4E58-AC06-AF98CDCBEC7D}"/>
            </c:ext>
          </c:extLst>
        </c:ser>
        <c:ser>
          <c:idx val="2"/>
          <c:order val="2"/>
          <c:tx>
            <c:strRef>
              <c:f>Folha1!$I$7</c:f>
              <c:strCache>
                <c:ptCount val="1"/>
                <c:pt idx="0">
                  <c:v>Adapted Driver (3rd)</c:v>
                </c:pt>
              </c:strCache>
            </c:strRef>
          </c:tx>
          <c:spPr>
            <a:ln w="28575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rgbClr val="00B0F0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Folha1!$D$8:$F$35</c15:sqref>
                  </c15:fullRef>
                </c:ext>
              </c:extLst>
              <c:f>(Folha1!$D$8:$F$8,Folha1!$D$10:$F$10,Folha1!$D$12:$F$12,Folha1!$D$14:$F$14,Folha1!$D$16:$F$16,Folha1!$D$18:$F$18,Folha1!$D$20:$F$20,Folha1!$D$22:$F$22,Folha1!$D$24:$F$24,Folha1!$D$26:$F$26,Folha1!$D$28:$F$28,Folha1!$D$30:$F$30,Folha1!$D$32:$F$32,Folha1!$D$34:$F$34)</c:f>
              <c:multiLvlStrCache>
                <c:ptCount val="14"/>
                <c:lvl>
                  <c:pt idx="0">
                    <c:v>acc</c:v>
                  </c:pt>
                  <c:pt idx="1">
                    <c:v>acc</c:v>
                  </c:pt>
                  <c:pt idx="2">
                    <c:v>acc</c:v>
                  </c:pt>
                  <c:pt idx="3">
                    <c:v>acc</c:v>
                  </c:pt>
                  <c:pt idx="4">
                    <c:v>acc</c:v>
                  </c:pt>
                  <c:pt idx="5">
                    <c:v>acc</c:v>
                  </c:pt>
                  <c:pt idx="6">
                    <c:v>acc</c:v>
                  </c:pt>
                  <c:pt idx="7">
                    <c:v>acc</c:v>
                  </c:pt>
                  <c:pt idx="8">
                    <c:v>acc</c:v>
                  </c:pt>
                  <c:pt idx="9">
                    <c:v>acc</c:v>
                  </c:pt>
                  <c:pt idx="10">
                    <c:v>acc</c:v>
                  </c:pt>
                  <c:pt idx="11">
                    <c:v>acc</c:v>
                  </c:pt>
                  <c:pt idx="12">
                    <c:v>acc</c:v>
                  </c:pt>
                  <c:pt idx="13">
                    <c:v>acc</c:v>
                  </c:pt>
                </c:lvl>
                <c:lvl>
                  <c:pt idx="0">
                    <c:v>N</c:v>
                  </c:pt>
                  <c:pt idx="1">
                    <c:v>P</c:v>
                  </c:pt>
                  <c:pt idx="2">
                    <c:v>N</c:v>
                  </c:pt>
                  <c:pt idx="3">
                    <c:v>P</c:v>
                  </c:pt>
                  <c:pt idx="4">
                    <c:v>N</c:v>
                  </c:pt>
                  <c:pt idx="5">
                    <c:v>P</c:v>
                  </c:pt>
                  <c:pt idx="6">
                    <c:v>N</c:v>
                  </c:pt>
                  <c:pt idx="7">
                    <c:v>N</c:v>
                  </c:pt>
                  <c:pt idx="8">
                    <c:v>P</c:v>
                  </c:pt>
                  <c:pt idx="9">
                    <c:v>N</c:v>
                  </c:pt>
                  <c:pt idx="10">
                    <c:v>P</c:v>
                  </c:pt>
                  <c:pt idx="11">
                    <c:v>N</c:v>
                  </c:pt>
                  <c:pt idx="12">
                    <c:v>P</c:v>
                  </c:pt>
                  <c:pt idx="13">
                    <c:v>N</c:v>
                  </c:pt>
                </c:lvl>
                <c:lvl>
                  <c:pt idx="0">
                    <c:v>El Centro</c:v>
                  </c:pt>
                  <c:pt idx="2">
                    <c:v>Erzikan</c:v>
                  </c:pt>
                  <c:pt idx="4">
                    <c:v>Kobe</c:v>
                  </c:pt>
                  <c:pt idx="6">
                    <c:v>L'Aquila</c:v>
                  </c:pt>
                  <c:pt idx="7">
                    <c:v>Newhall</c:v>
                  </c:pt>
                  <c:pt idx="9">
                    <c:v>Rinaldi</c:v>
                  </c:pt>
                  <c:pt idx="11">
                    <c:v>Sylmar</c:v>
                  </c:pt>
                  <c:pt idx="13">
                    <c:v>Tolmezzo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Folha1!$I$8:$I$35</c15:sqref>
                  </c15:fullRef>
                </c:ext>
              </c:extLst>
              <c:f>(Folha1!$I$8,Folha1!$I$10,Folha1!$I$12,Folha1!$I$14,Folha1!$I$16,Folha1!$I$18,Folha1!$I$20,Folha1!$I$22,Folha1!$I$24,Folha1!$I$26,Folha1!$I$28,Folha1!$I$30,Folha1!$I$32,Folha1!$I$34)</c:f>
              <c:numCache>
                <c:formatCode>0.00E+00</c:formatCode>
                <c:ptCount val="14"/>
                <c:pt idx="0">
                  <c:v>4.9100000000000001E-5</c:v>
                </c:pt>
                <c:pt idx="1">
                  <c:v>9.5999999999999996E-6</c:v>
                </c:pt>
                <c:pt idx="2">
                  <c:v>3.76E-6</c:v>
                </c:pt>
                <c:pt idx="3">
                  <c:v>7.0999999999999998E-6</c:v>
                </c:pt>
                <c:pt idx="4">
                  <c:v>1.9000000000000001E-5</c:v>
                </c:pt>
                <c:pt idx="5">
                  <c:v>1.7099999999999999E-5</c:v>
                </c:pt>
                <c:pt idx="6">
                  <c:v>4.0200000000000001E-5</c:v>
                </c:pt>
                <c:pt idx="7">
                  <c:v>1.4399999999999999E-5</c:v>
                </c:pt>
                <c:pt idx="8">
                  <c:v>2.51E-5</c:v>
                </c:pt>
                <c:pt idx="9">
                  <c:v>3.8999999999999999E-5</c:v>
                </c:pt>
                <c:pt idx="10">
                  <c:v>6.4999999999999994E-5</c:v>
                </c:pt>
                <c:pt idx="11">
                  <c:v>5.0099999999999998E-5</c:v>
                </c:pt>
                <c:pt idx="12">
                  <c:v>9.8099999999999992E-6</c:v>
                </c:pt>
                <c:pt idx="13">
                  <c:v>1.67E-3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A05-4E58-AC06-AF98CDCBEC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30024880"/>
        <c:axId val="1230026800"/>
      </c:lineChart>
      <c:catAx>
        <c:axId val="12300248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230026800"/>
        <c:crosses val="autoZero"/>
        <c:auto val="1"/>
        <c:lblAlgn val="ctr"/>
        <c:lblOffset val="100"/>
        <c:noMultiLvlLbl val="0"/>
      </c:catAx>
      <c:valAx>
        <c:axId val="1230026800"/>
        <c:scaling>
          <c:logBase val="10"/>
          <c:orientation val="minMax"/>
          <c:max val="2.0000000000000005E-3"/>
          <c:min val="7.0000000000000031E-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PT" sz="1200" b="0" i="0" u="none" strike="noStrike" kern="1200" baseline="0">
                    <a:solidFill>
                      <a:schemeClr val="tx1"/>
                    </a:solidFill>
                  </a:rPr>
                  <a:t>Acceleration Response Spectrum MSE (m/s^2)</a:t>
                </a:r>
                <a:endParaRPr lang="pt-PT" sz="120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PT"/>
            </a:p>
          </c:txPr>
        </c:title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230024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P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PT" baseline="0">
                <a:solidFill>
                  <a:schemeClr val="tx1"/>
                </a:solidFill>
              </a:rPr>
              <a:t>Displacement response spectrum MSE vs control strategy for various seismic signals</a:t>
            </a:r>
            <a:endParaRPr lang="pt-PT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Folha1!$G$7</c:f>
              <c:strCache>
                <c:ptCount val="1"/>
                <c:pt idx="0">
                  <c:v>PIDF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Folha1!$D$8:$F$35</c15:sqref>
                  </c15:fullRef>
                </c:ext>
              </c:extLst>
              <c:f>(Folha1!$D$9:$F$9,Folha1!$D$11:$F$11,Folha1!$D$13:$F$13,Folha1!$D$15:$F$15,Folha1!$D$17:$F$17,Folha1!$D$19:$F$19,Folha1!$D$21:$F$21,Folha1!$D$23:$F$23,Folha1!$D$25:$F$25,Folha1!$D$27:$F$27,Folha1!$D$29:$F$29,Folha1!$D$31:$F$31,Folha1!$D$33:$F$33,Folha1!$D$35:$F$35)</c:f>
              <c:multiLvlStrCache>
                <c:ptCount val="14"/>
                <c:lvl>
                  <c:pt idx="0">
                    <c:v>disp</c:v>
                  </c:pt>
                  <c:pt idx="1">
                    <c:v>disp</c:v>
                  </c:pt>
                  <c:pt idx="2">
                    <c:v>disp</c:v>
                  </c:pt>
                  <c:pt idx="3">
                    <c:v>disp</c:v>
                  </c:pt>
                  <c:pt idx="4">
                    <c:v>disp</c:v>
                  </c:pt>
                  <c:pt idx="5">
                    <c:v>disp</c:v>
                  </c:pt>
                  <c:pt idx="6">
                    <c:v>disp</c:v>
                  </c:pt>
                  <c:pt idx="7">
                    <c:v>disp</c:v>
                  </c:pt>
                  <c:pt idx="8">
                    <c:v>disp</c:v>
                  </c:pt>
                  <c:pt idx="9">
                    <c:v>disp</c:v>
                  </c:pt>
                  <c:pt idx="10">
                    <c:v>disp</c:v>
                  </c:pt>
                  <c:pt idx="11">
                    <c:v>disp</c:v>
                  </c:pt>
                  <c:pt idx="12">
                    <c:v>disp</c:v>
                  </c:pt>
                  <c:pt idx="13">
                    <c:v>disp</c:v>
                  </c:pt>
                </c:lvl>
                <c:lvl/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Folha1!$G$8:$G$35</c15:sqref>
                  </c15:fullRef>
                </c:ext>
              </c:extLst>
              <c:f>(Folha1!$G$9,Folha1!$G$11,Folha1!$G$13,Folha1!$G$15,Folha1!$G$17,Folha1!$G$19,Folha1!$G$21,Folha1!$G$23,Folha1!$G$25,Folha1!$G$27,Folha1!$G$29,Folha1!$G$31,Folha1!$G$33,Folha1!$G$35)</c:f>
              <c:numCache>
                <c:formatCode>0.00E+00</c:formatCode>
                <c:ptCount val="14"/>
                <c:pt idx="0">
                  <c:v>6E-10</c:v>
                </c:pt>
                <c:pt idx="1">
                  <c:v>3.4699999999999999E-10</c:v>
                </c:pt>
                <c:pt idx="2">
                  <c:v>1.9800000000000002E-9</c:v>
                </c:pt>
                <c:pt idx="3">
                  <c:v>9.1099999999999996E-10</c:v>
                </c:pt>
                <c:pt idx="4">
                  <c:v>6.4400000000000001E-9</c:v>
                </c:pt>
                <c:pt idx="5">
                  <c:v>4.8499999999999996E-9</c:v>
                </c:pt>
                <c:pt idx="6">
                  <c:v>5.6299999999999998E-9</c:v>
                </c:pt>
                <c:pt idx="7">
                  <c:v>3.9700000000000001E-9</c:v>
                </c:pt>
                <c:pt idx="8">
                  <c:v>3.8200000000000003E-10</c:v>
                </c:pt>
                <c:pt idx="9">
                  <c:v>7.1699999999999998E-9</c:v>
                </c:pt>
                <c:pt idx="10">
                  <c:v>1.85E-9</c:v>
                </c:pt>
                <c:pt idx="11">
                  <c:v>2.7000000000000002E-9</c:v>
                </c:pt>
                <c:pt idx="12">
                  <c:v>1.38E-9</c:v>
                </c:pt>
                <c:pt idx="13">
                  <c:v>8.6399999999999999E-9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2EE-42FB-9F04-031C26ED6FF5}"/>
            </c:ext>
          </c:extLst>
        </c:ser>
        <c:ser>
          <c:idx val="1"/>
          <c:order val="1"/>
          <c:tx>
            <c:strRef>
              <c:f>Folha1!$H$7</c:f>
              <c:strCache>
                <c:ptCount val="1"/>
                <c:pt idx="0">
                  <c:v>Optimal Control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rgbClr val="FFC000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Folha1!$D$8:$F$35</c15:sqref>
                  </c15:fullRef>
                </c:ext>
              </c:extLst>
              <c:f>(Folha1!$D$9:$F$9,Folha1!$D$11:$F$11,Folha1!$D$13:$F$13,Folha1!$D$15:$F$15,Folha1!$D$17:$F$17,Folha1!$D$19:$F$19,Folha1!$D$21:$F$21,Folha1!$D$23:$F$23,Folha1!$D$25:$F$25,Folha1!$D$27:$F$27,Folha1!$D$29:$F$29,Folha1!$D$31:$F$31,Folha1!$D$33:$F$33,Folha1!$D$35:$F$35)</c:f>
              <c:multiLvlStrCache>
                <c:ptCount val="14"/>
                <c:lvl>
                  <c:pt idx="0">
                    <c:v>disp</c:v>
                  </c:pt>
                  <c:pt idx="1">
                    <c:v>disp</c:v>
                  </c:pt>
                  <c:pt idx="2">
                    <c:v>disp</c:v>
                  </c:pt>
                  <c:pt idx="3">
                    <c:v>disp</c:v>
                  </c:pt>
                  <c:pt idx="4">
                    <c:v>disp</c:v>
                  </c:pt>
                  <c:pt idx="5">
                    <c:v>disp</c:v>
                  </c:pt>
                  <c:pt idx="6">
                    <c:v>disp</c:v>
                  </c:pt>
                  <c:pt idx="7">
                    <c:v>disp</c:v>
                  </c:pt>
                  <c:pt idx="8">
                    <c:v>disp</c:v>
                  </c:pt>
                  <c:pt idx="9">
                    <c:v>disp</c:v>
                  </c:pt>
                  <c:pt idx="10">
                    <c:v>disp</c:v>
                  </c:pt>
                  <c:pt idx="11">
                    <c:v>disp</c:v>
                  </c:pt>
                  <c:pt idx="12">
                    <c:v>disp</c:v>
                  </c:pt>
                  <c:pt idx="13">
                    <c:v>disp</c:v>
                  </c:pt>
                </c:lvl>
                <c:lvl/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Folha1!$H$8:$H$35</c15:sqref>
                  </c15:fullRef>
                </c:ext>
              </c:extLst>
              <c:f>(Folha1!$H$9,Folha1!$H$11,Folha1!$H$13,Folha1!$H$15,Folha1!$H$17,Folha1!$H$19,Folha1!$H$21,Folha1!$H$23,Folha1!$H$25,Folha1!$H$27,Folha1!$H$29,Folha1!$H$31,Folha1!$H$33,Folha1!$H$35)</c:f>
              <c:numCache>
                <c:formatCode>0.00E+00</c:formatCode>
                <c:ptCount val="14"/>
                <c:pt idx="0">
                  <c:v>1.5900000000000001E-12</c:v>
                </c:pt>
                <c:pt idx="1">
                  <c:v>2.3499999999999999E-12</c:v>
                </c:pt>
                <c:pt idx="2">
                  <c:v>1.42E-12</c:v>
                </c:pt>
                <c:pt idx="3">
                  <c:v>6.5600000000000003E-13</c:v>
                </c:pt>
                <c:pt idx="4">
                  <c:v>8.4400000000000004E-13</c:v>
                </c:pt>
                <c:pt idx="5">
                  <c:v>5.4200000000000001E-13</c:v>
                </c:pt>
                <c:pt idx="6">
                  <c:v>1.66E-12</c:v>
                </c:pt>
                <c:pt idx="7">
                  <c:v>2.2100000000000001E-12</c:v>
                </c:pt>
                <c:pt idx="8">
                  <c:v>2.4099999999999998E-13</c:v>
                </c:pt>
                <c:pt idx="9">
                  <c:v>4.7200000000000001E-12</c:v>
                </c:pt>
                <c:pt idx="10">
                  <c:v>1.24E-12</c:v>
                </c:pt>
                <c:pt idx="11">
                  <c:v>9.3199999999999999E-12</c:v>
                </c:pt>
                <c:pt idx="12">
                  <c:v>1.9899999999999998E-12</c:v>
                </c:pt>
                <c:pt idx="13">
                  <c:v>1.7399999999999999E-11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2EE-42FB-9F04-031C26ED6FF5}"/>
            </c:ext>
          </c:extLst>
        </c:ser>
        <c:ser>
          <c:idx val="2"/>
          <c:order val="2"/>
          <c:tx>
            <c:strRef>
              <c:f>Folha1!$I$7</c:f>
              <c:strCache>
                <c:ptCount val="1"/>
                <c:pt idx="0">
                  <c:v>Adapted Driver (3rd)</c:v>
                </c:pt>
              </c:strCache>
            </c:strRef>
          </c:tx>
          <c:spPr>
            <a:ln w="28575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rgbClr val="00B0F0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Folha1!$D$8:$F$35</c15:sqref>
                  </c15:fullRef>
                </c:ext>
              </c:extLst>
              <c:f>(Folha1!$D$9:$F$9,Folha1!$D$11:$F$11,Folha1!$D$13:$F$13,Folha1!$D$15:$F$15,Folha1!$D$17:$F$17,Folha1!$D$19:$F$19,Folha1!$D$21:$F$21,Folha1!$D$23:$F$23,Folha1!$D$25:$F$25,Folha1!$D$27:$F$27,Folha1!$D$29:$F$29,Folha1!$D$31:$F$31,Folha1!$D$33:$F$33,Folha1!$D$35:$F$35)</c:f>
              <c:multiLvlStrCache>
                <c:ptCount val="14"/>
                <c:lvl>
                  <c:pt idx="0">
                    <c:v>disp</c:v>
                  </c:pt>
                  <c:pt idx="1">
                    <c:v>disp</c:v>
                  </c:pt>
                  <c:pt idx="2">
                    <c:v>disp</c:v>
                  </c:pt>
                  <c:pt idx="3">
                    <c:v>disp</c:v>
                  </c:pt>
                  <c:pt idx="4">
                    <c:v>disp</c:v>
                  </c:pt>
                  <c:pt idx="5">
                    <c:v>disp</c:v>
                  </c:pt>
                  <c:pt idx="6">
                    <c:v>disp</c:v>
                  </c:pt>
                  <c:pt idx="7">
                    <c:v>disp</c:v>
                  </c:pt>
                  <c:pt idx="8">
                    <c:v>disp</c:v>
                  </c:pt>
                  <c:pt idx="9">
                    <c:v>disp</c:v>
                  </c:pt>
                  <c:pt idx="10">
                    <c:v>disp</c:v>
                  </c:pt>
                  <c:pt idx="11">
                    <c:v>disp</c:v>
                  </c:pt>
                  <c:pt idx="12">
                    <c:v>disp</c:v>
                  </c:pt>
                  <c:pt idx="13">
                    <c:v>disp</c:v>
                  </c:pt>
                </c:lvl>
                <c:lvl/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Folha1!$I$8:$I$35</c15:sqref>
                  </c15:fullRef>
                </c:ext>
              </c:extLst>
              <c:f>(Folha1!$I$9,Folha1!$I$11,Folha1!$I$13,Folha1!$I$15,Folha1!$I$17,Folha1!$I$19,Folha1!$I$21,Folha1!$I$23,Folha1!$I$25,Folha1!$I$27,Folha1!$I$29,Folha1!$I$31,Folha1!$I$33,Folha1!$I$35)</c:f>
              <c:numCache>
                <c:formatCode>0.00E+00</c:formatCode>
                <c:ptCount val="14"/>
                <c:pt idx="0">
                  <c:v>5.6800000000000002E-9</c:v>
                </c:pt>
                <c:pt idx="1">
                  <c:v>1.42E-8</c:v>
                </c:pt>
                <c:pt idx="2">
                  <c:v>6.6000000000000003E-6</c:v>
                </c:pt>
                <c:pt idx="3">
                  <c:v>6.1700000000000004E-11</c:v>
                </c:pt>
                <c:pt idx="4">
                  <c:v>1.3799999999999999E-8</c:v>
                </c:pt>
                <c:pt idx="5">
                  <c:v>1.14E-8</c:v>
                </c:pt>
                <c:pt idx="6">
                  <c:v>1.4100000000000001E-8</c:v>
                </c:pt>
                <c:pt idx="7">
                  <c:v>1.4E-8</c:v>
                </c:pt>
                <c:pt idx="8">
                  <c:v>2.81E-9</c:v>
                </c:pt>
                <c:pt idx="9">
                  <c:v>2.1400000000000001E-10</c:v>
                </c:pt>
                <c:pt idx="10">
                  <c:v>3.5000000000000002E-8</c:v>
                </c:pt>
                <c:pt idx="11">
                  <c:v>1.4E-8</c:v>
                </c:pt>
                <c:pt idx="12">
                  <c:v>5.1499999999999998E-9</c:v>
                </c:pt>
                <c:pt idx="13">
                  <c:v>1.4100000000000001E-8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2EE-42FB-9F04-031C26ED6F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30024880"/>
        <c:axId val="1230026800"/>
      </c:lineChart>
      <c:catAx>
        <c:axId val="12300248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230026800"/>
        <c:crosses val="autoZero"/>
        <c:auto val="1"/>
        <c:lblAlgn val="ctr"/>
        <c:lblOffset val="100"/>
        <c:noMultiLvlLbl val="0"/>
      </c:catAx>
      <c:valAx>
        <c:axId val="1230026800"/>
        <c:scaling>
          <c:logBase val="10"/>
          <c:orientation val="minMax"/>
          <c:max val="2.0000000000000008E-5"/>
          <c:min val="2.0000000000000013E-13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PT" sz="1200">
                    <a:solidFill>
                      <a:schemeClr val="tx1"/>
                    </a:solidFill>
                  </a:rPr>
                  <a:t>Displacement</a:t>
                </a:r>
                <a:r>
                  <a:rPr lang="pt-PT" sz="1200" baseline="0">
                    <a:solidFill>
                      <a:schemeClr val="tx1"/>
                    </a:solidFill>
                  </a:rPr>
                  <a:t> Response Spectrum MSE (m)</a:t>
                </a:r>
                <a:endParaRPr lang="pt-PT" sz="120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PT"/>
            </a:p>
          </c:txPr>
        </c:title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230024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P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PT" baseline="0">
                <a:solidFill>
                  <a:schemeClr val="tx1"/>
                </a:solidFill>
              </a:rPr>
              <a:t>Mean &amp; Average Statistics for all seismic signals</a:t>
            </a:r>
            <a:endParaRPr lang="pt-PT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Folha1!$G$7</c:f>
              <c:strCache>
                <c:ptCount val="1"/>
                <c:pt idx="0">
                  <c:v>PIDF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noFill/>
              <a:ln w="9525">
                <a:solidFill>
                  <a:srgbClr val="FF0000"/>
                </a:solidFill>
              </a:ln>
              <a:effectLst/>
            </c:spPr>
          </c:marker>
          <c:cat>
            <c:strRef>
              <c:f>Folha1!$J$36:$J$41</c:f>
              <c:strCache>
                <c:ptCount val="6"/>
                <c:pt idx="0">
                  <c:v>média MSE Accel &amp; Disp</c:v>
                </c:pt>
                <c:pt idx="1">
                  <c:v>mediana MSE Accel &amp; Disp</c:v>
                </c:pt>
                <c:pt idx="2">
                  <c:v>média MSE Accel</c:v>
                </c:pt>
                <c:pt idx="3">
                  <c:v>mediana MSE Accel</c:v>
                </c:pt>
                <c:pt idx="4">
                  <c:v>média MSE Disp</c:v>
                </c:pt>
                <c:pt idx="5">
                  <c:v>mediana MSE Disp</c:v>
                </c:pt>
              </c:strCache>
            </c:strRef>
          </c:cat>
          <c:val>
            <c:numRef>
              <c:f>Folha1!$G$36:$G$41</c:f>
              <c:numCache>
                <c:formatCode>0.00E+00</c:formatCode>
                <c:ptCount val="6"/>
                <c:pt idx="0">
                  <c:v>2.0424530357142859E-5</c:v>
                </c:pt>
                <c:pt idx="1">
                  <c:v>1.00432E-6</c:v>
                </c:pt>
                <c:pt idx="2">
                  <c:v>4.0845714285714295E-5</c:v>
                </c:pt>
                <c:pt idx="3">
                  <c:v>1.8300000000000001E-5</c:v>
                </c:pt>
                <c:pt idx="4">
                  <c:v>3.3464285714285716E-9</c:v>
                </c:pt>
                <c:pt idx="5">
                  <c:v>2.3400000000000002E-9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91B-4A6C-9D50-0D1FB550CE3F}"/>
            </c:ext>
          </c:extLst>
        </c:ser>
        <c:ser>
          <c:idx val="1"/>
          <c:order val="1"/>
          <c:tx>
            <c:strRef>
              <c:f>Folha1!$H$7</c:f>
              <c:strCache>
                <c:ptCount val="1"/>
                <c:pt idx="0">
                  <c:v>Optimal Control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circle"/>
            <c:size val="5"/>
            <c:spPr>
              <a:noFill/>
              <a:ln w="9525">
                <a:solidFill>
                  <a:srgbClr val="FF0000"/>
                </a:solidFill>
              </a:ln>
              <a:effectLst/>
            </c:spPr>
          </c:marker>
          <c:cat>
            <c:strRef>
              <c:f>Folha1!$J$36:$J$41</c:f>
              <c:strCache>
                <c:ptCount val="6"/>
                <c:pt idx="0">
                  <c:v>média MSE Accel &amp; Disp</c:v>
                </c:pt>
                <c:pt idx="1">
                  <c:v>mediana MSE Accel &amp; Disp</c:v>
                </c:pt>
                <c:pt idx="2">
                  <c:v>média MSE Accel</c:v>
                </c:pt>
                <c:pt idx="3">
                  <c:v>mediana MSE Accel</c:v>
                </c:pt>
                <c:pt idx="4">
                  <c:v>média MSE Disp</c:v>
                </c:pt>
                <c:pt idx="5">
                  <c:v>mediana MSE Disp</c:v>
                </c:pt>
              </c:strCache>
            </c:strRef>
          </c:cat>
          <c:val>
            <c:numRef>
              <c:f>Folha1!$H$36:$H$41</c:f>
              <c:numCache>
                <c:formatCode>0.00E+00</c:formatCode>
                <c:ptCount val="6"/>
                <c:pt idx="0">
                  <c:v>6.1500480779642854E-6</c:v>
                </c:pt>
                <c:pt idx="1">
                  <c:v>3.5158700000000001E-8</c:v>
                </c:pt>
                <c:pt idx="2">
                  <c:v>1.2300092857142856E-5</c:v>
                </c:pt>
                <c:pt idx="3">
                  <c:v>1.4000000000000001E-6</c:v>
                </c:pt>
                <c:pt idx="4">
                  <c:v>3.2987857142857144E-12</c:v>
                </c:pt>
                <c:pt idx="5">
                  <c:v>1.625E-12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91B-4A6C-9D50-0D1FB550CE3F}"/>
            </c:ext>
          </c:extLst>
        </c:ser>
        <c:ser>
          <c:idx val="2"/>
          <c:order val="2"/>
          <c:tx>
            <c:strRef>
              <c:f>Folha1!$I$7</c:f>
              <c:strCache>
                <c:ptCount val="1"/>
                <c:pt idx="0">
                  <c:v>Adapted Driver (3rd)</c:v>
                </c:pt>
              </c:strCache>
            </c:strRef>
          </c:tx>
          <c:spPr>
            <a:ln w="28575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noFill/>
              <a:ln w="9525">
                <a:solidFill>
                  <a:srgbClr val="00B0F0"/>
                </a:solidFill>
              </a:ln>
              <a:effectLst/>
            </c:spPr>
          </c:marker>
          <c:cat>
            <c:strRef>
              <c:f>Folha1!$J$36:$J$41</c:f>
              <c:strCache>
                <c:ptCount val="6"/>
                <c:pt idx="0">
                  <c:v>média MSE Accel &amp; Disp</c:v>
                </c:pt>
                <c:pt idx="1">
                  <c:v>mediana MSE Accel &amp; Disp</c:v>
                </c:pt>
                <c:pt idx="2">
                  <c:v>média MSE Accel</c:v>
                </c:pt>
                <c:pt idx="3">
                  <c:v>mediana MSE Accel</c:v>
                </c:pt>
                <c:pt idx="4">
                  <c:v>média MSE Disp</c:v>
                </c:pt>
                <c:pt idx="5">
                  <c:v>mediana MSE Disp</c:v>
                </c:pt>
              </c:strCache>
            </c:strRef>
          </c:cat>
          <c:val>
            <c:numRef>
              <c:f>Folha1!$I$36:$I$41</c:f>
              <c:numCache>
                <c:formatCode>0.00E+00</c:formatCode>
                <c:ptCount val="6"/>
                <c:pt idx="0">
                  <c:v>7.2357661275000007E-5</c:v>
                </c:pt>
                <c:pt idx="1">
                  <c:v>5.1800000000000004E-6</c:v>
                </c:pt>
                <c:pt idx="2">
                  <c:v>1.4423357142857144E-4</c:v>
                </c:pt>
                <c:pt idx="3">
                  <c:v>2.2050000000000001E-5</c:v>
                </c:pt>
                <c:pt idx="4">
                  <c:v>4.8175112142857149E-7</c:v>
                </c:pt>
                <c:pt idx="5">
                  <c:v>1.3899999999999999E-8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91B-4A6C-9D50-0D1FB550CE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30024880"/>
        <c:axId val="1230026800"/>
      </c:lineChart>
      <c:catAx>
        <c:axId val="12300248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230026800"/>
        <c:crosses val="autoZero"/>
        <c:auto val="1"/>
        <c:lblAlgn val="ctr"/>
        <c:lblOffset val="100"/>
        <c:noMultiLvlLbl val="0"/>
      </c:catAx>
      <c:valAx>
        <c:axId val="1230026800"/>
        <c:scaling>
          <c:logBase val="10"/>
          <c:orientation val="minMax"/>
          <c:max val="2.0000000000000006E-4"/>
          <c:min val="1.0000000000000006E-1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PT" sz="1200">
                    <a:solidFill>
                      <a:schemeClr val="tx1"/>
                    </a:solidFill>
                  </a:rPr>
                  <a:t>Displacement</a:t>
                </a:r>
                <a:r>
                  <a:rPr lang="pt-PT" sz="1200" baseline="0">
                    <a:solidFill>
                      <a:schemeClr val="tx1"/>
                    </a:solidFill>
                  </a:rPr>
                  <a:t> Response Spectrum MSE (m)</a:t>
                </a:r>
                <a:endParaRPr lang="pt-PT" sz="120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PT"/>
            </a:p>
          </c:txPr>
        </c:title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230024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P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247649</xdr:colOff>
      <xdr:row>3</xdr:row>
      <xdr:rowOff>133350</xdr:rowOff>
    </xdr:from>
    <xdr:to>
      <xdr:col>27</xdr:col>
      <xdr:colOff>211666</xdr:colOff>
      <xdr:row>24</xdr:row>
      <xdr:rowOff>142875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DD6365B-2CC4-4D3F-BBF5-0F55C152FF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239448</xdr:colOff>
      <xdr:row>25</xdr:row>
      <xdr:rowOff>75407</xdr:rowOff>
    </xdr:from>
    <xdr:to>
      <xdr:col>27</xdr:col>
      <xdr:colOff>207698</xdr:colOff>
      <xdr:row>48</xdr:row>
      <xdr:rowOff>11906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145BAD1E-03E1-452C-9217-A2CB533A72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0</xdr:colOff>
      <xdr:row>48</xdr:row>
      <xdr:rowOff>0</xdr:rowOff>
    </xdr:from>
    <xdr:to>
      <xdr:col>13</xdr:col>
      <xdr:colOff>323941</xdr:colOff>
      <xdr:row>69</xdr:row>
      <xdr:rowOff>165636</xdr:rowOff>
    </xdr:to>
    <xdr:graphicFrame macro="">
      <xdr:nvGraphicFramePr>
        <xdr:cNvPr id="13" name="Gráfico 1">
          <a:extLst>
            <a:ext uri="{FF2B5EF4-FFF2-40B4-BE49-F238E27FC236}">
              <a16:creationId xmlns:a16="http://schemas.microsoft.com/office/drawing/2014/main" id="{DAE1E80C-8D0A-4CB1-8F95-09369CDFF1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247649</xdr:colOff>
      <xdr:row>3</xdr:row>
      <xdr:rowOff>133350</xdr:rowOff>
    </xdr:from>
    <xdr:to>
      <xdr:col>27</xdr:col>
      <xdr:colOff>211666</xdr:colOff>
      <xdr:row>20</xdr:row>
      <xdr:rowOff>142875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DC3786B8-187F-6877-ACCA-AC1C3397BB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239448</xdr:colOff>
      <xdr:row>21</xdr:row>
      <xdr:rowOff>75407</xdr:rowOff>
    </xdr:from>
    <xdr:to>
      <xdr:col>27</xdr:col>
      <xdr:colOff>207698</xdr:colOff>
      <xdr:row>44</xdr:row>
      <xdr:rowOff>11906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5509C17A-2835-4CEE-9A09-BDBED821C2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549468</xdr:colOff>
      <xdr:row>44</xdr:row>
      <xdr:rowOff>148714</xdr:rowOff>
    </xdr:from>
    <xdr:to>
      <xdr:col>10</xdr:col>
      <xdr:colOff>194753</xdr:colOff>
      <xdr:row>67</xdr:row>
      <xdr:rowOff>74689</xdr:rowOff>
    </xdr:to>
    <xdr:graphicFrame macro="">
      <xdr:nvGraphicFramePr>
        <xdr:cNvPr id="3" name="Gráfico 1">
          <a:extLst>
            <a:ext uri="{FF2B5EF4-FFF2-40B4-BE49-F238E27FC236}">
              <a16:creationId xmlns:a16="http://schemas.microsoft.com/office/drawing/2014/main" id="{FAAA406C-3B13-A42E-7F0B-C7434FC6DCE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5F96D6-ED0D-45B4-865A-35F865CA620B}">
  <dimension ref="D7:J46"/>
  <sheetViews>
    <sheetView tabSelected="1" topLeftCell="A24" zoomScale="80" zoomScaleNormal="80" workbookViewId="0">
      <selection activeCell="R59" sqref="R59"/>
    </sheetView>
  </sheetViews>
  <sheetFormatPr defaultRowHeight="15" x14ac:dyDescent="0.25"/>
  <cols>
    <col min="4" max="9" width="9.140625" style="1"/>
    <col min="10" max="10" width="24.140625" customWidth="1"/>
  </cols>
  <sheetData>
    <row r="7" spans="4:10" x14ac:dyDescent="0.25">
      <c r="G7" s="1" t="s">
        <v>12</v>
      </c>
      <c r="H7" s="1" t="s">
        <v>13</v>
      </c>
      <c r="I7" s="1" t="s">
        <v>15</v>
      </c>
    </row>
    <row r="8" spans="4:10" x14ac:dyDescent="0.25">
      <c r="D8" s="15" t="s">
        <v>5</v>
      </c>
      <c r="E8" s="15" t="s">
        <v>0</v>
      </c>
      <c r="F8" s="1" t="s">
        <v>2</v>
      </c>
      <c r="G8" s="2">
        <v>5.6199999999999997E-5</v>
      </c>
      <c r="H8" s="2">
        <v>1.11E-5</v>
      </c>
      <c r="I8" s="2">
        <v>4.9100000000000001E-5</v>
      </c>
    </row>
    <row r="9" spans="4:10" x14ac:dyDescent="0.25">
      <c r="D9" s="15"/>
      <c r="E9" s="15"/>
      <c r="F9" s="1" t="s">
        <v>3</v>
      </c>
      <c r="G9" s="2">
        <v>6E-10</v>
      </c>
      <c r="H9" s="2">
        <v>1.5900000000000001E-12</v>
      </c>
      <c r="I9" s="2">
        <v>5.6800000000000002E-9</v>
      </c>
      <c r="J9" s="16"/>
    </row>
    <row r="10" spans="4:10" x14ac:dyDescent="0.25">
      <c r="D10" s="15"/>
      <c r="E10" s="15" t="s">
        <v>1</v>
      </c>
      <c r="F10" s="1" t="s">
        <v>2</v>
      </c>
      <c r="G10" s="2">
        <v>1.3200000000000001E-5</v>
      </c>
      <c r="H10" s="2">
        <v>3.0199999999999999E-6</v>
      </c>
      <c r="I10" s="2">
        <v>9.5999999999999996E-6</v>
      </c>
      <c r="J10" s="16"/>
    </row>
    <row r="11" spans="4:10" x14ac:dyDescent="0.25">
      <c r="D11" s="15"/>
      <c r="E11" s="15"/>
      <c r="F11" s="1" t="s">
        <v>3</v>
      </c>
      <c r="G11" s="2">
        <v>3.4699999999999999E-10</v>
      </c>
      <c r="H11" s="2">
        <v>2.3499999999999999E-12</v>
      </c>
      <c r="I11" s="2">
        <v>1.42E-8</v>
      </c>
      <c r="J11" s="17"/>
    </row>
    <row r="12" spans="4:10" x14ac:dyDescent="0.25">
      <c r="D12" s="15" t="s">
        <v>4</v>
      </c>
      <c r="E12" s="15" t="s">
        <v>0</v>
      </c>
      <c r="F12" s="1" t="s">
        <v>2</v>
      </c>
      <c r="G12" s="2">
        <v>1.9999999999999999E-6</v>
      </c>
      <c r="H12" s="2">
        <v>3.8299999999999998E-7</v>
      </c>
      <c r="I12" s="2">
        <v>3.76E-6</v>
      </c>
      <c r="J12" s="17"/>
    </row>
    <row r="13" spans="4:10" x14ac:dyDescent="0.25">
      <c r="D13" s="15"/>
      <c r="E13" s="15"/>
      <c r="F13" s="1" t="s">
        <v>3</v>
      </c>
      <c r="G13" s="2">
        <v>1.9800000000000002E-9</v>
      </c>
      <c r="H13" s="2">
        <v>1.42E-12</v>
      </c>
      <c r="I13" s="2">
        <v>6.6000000000000003E-6</v>
      </c>
      <c r="J13" s="17"/>
    </row>
    <row r="14" spans="4:10" x14ac:dyDescent="0.25">
      <c r="D14" s="15"/>
      <c r="E14" s="15" t="s">
        <v>1</v>
      </c>
      <c r="F14" s="1" t="s">
        <v>2</v>
      </c>
      <c r="G14" s="2">
        <v>4.1099999999999996E-6</v>
      </c>
      <c r="H14" s="2">
        <v>7.0300000000000001E-8</v>
      </c>
      <c r="I14" s="2">
        <v>7.0999999999999998E-6</v>
      </c>
      <c r="J14" s="17"/>
    </row>
    <row r="15" spans="4:10" x14ac:dyDescent="0.25">
      <c r="D15" s="15"/>
      <c r="E15" s="15"/>
      <c r="F15" s="1" t="s">
        <v>3</v>
      </c>
      <c r="G15" s="2">
        <v>9.1099999999999996E-10</v>
      </c>
      <c r="H15" s="2">
        <v>6.5600000000000003E-13</v>
      </c>
      <c r="I15" s="2">
        <v>6.1700000000000004E-11</v>
      </c>
      <c r="J15" s="17"/>
    </row>
    <row r="16" spans="4:10" x14ac:dyDescent="0.25">
      <c r="D16" s="15" t="s">
        <v>22</v>
      </c>
      <c r="E16" s="15" t="s">
        <v>0</v>
      </c>
      <c r="F16" s="1" t="s">
        <v>2</v>
      </c>
      <c r="G16" s="2">
        <v>4.28E-3</v>
      </c>
      <c r="H16" s="2">
        <v>2.2100000000000002E-3</v>
      </c>
      <c r="I16" s="2">
        <v>0.17499999999999999</v>
      </c>
    </row>
    <row r="17" spans="4:9" x14ac:dyDescent="0.25">
      <c r="D17" s="15"/>
      <c r="E17" s="15"/>
      <c r="F17" s="1" t="s">
        <v>3</v>
      </c>
      <c r="G17" s="2">
        <v>1.71E-10</v>
      </c>
      <c r="H17" s="2">
        <v>1.25E-14</v>
      </c>
      <c r="I17" s="2">
        <v>2.5299999999999998E-5</v>
      </c>
    </row>
    <row r="18" spans="4:9" x14ac:dyDescent="0.25">
      <c r="D18" s="15"/>
      <c r="E18" s="15" t="s">
        <v>1</v>
      </c>
      <c r="F18" s="1" t="s">
        <v>2</v>
      </c>
      <c r="G18" s="2">
        <v>8.2000000000000003E-2</v>
      </c>
      <c r="H18" s="2">
        <v>4.5100000000000001E-2</v>
      </c>
      <c r="I18" s="2">
        <v>0.189</v>
      </c>
    </row>
    <row r="19" spans="4:9" x14ac:dyDescent="0.25">
      <c r="D19" s="15"/>
      <c r="E19" s="15"/>
      <c r="F19" s="1" t="s">
        <v>3</v>
      </c>
      <c r="G19" s="2">
        <v>3.8699999999999999E-11</v>
      </c>
      <c r="H19" s="2">
        <v>3.6199999999999997E-15</v>
      </c>
      <c r="I19" s="2">
        <v>1.34E-5</v>
      </c>
    </row>
    <row r="20" spans="4:9" x14ac:dyDescent="0.25">
      <c r="D20" s="15" t="s">
        <v>6</v>
      </c>
      <c r="E20" s="15" t="s">
        <v>0</v>
      </c>
      <c r="F20" s="1" t="s">
        <v>2</v>
      </c>
      <c r="G20" s="2">
        <v>3.1000000000000001E-5</v>
      </c>
      <c r="H20" s="2">
        <v>3.0800000000000001E-7</v>
      </c>
      <c r="I20" s="2">
        <v>1.9000000000000001E-5</v>
      </c>
    </row>
    <row r="21" spans="4:9" x14ac:dyDescent="0.25">
      <c r="D21" s="15"/>
      <c r="E21" s="15"/>
      <c r="F21" s="1" t="s">
        <v>3</v>
      </c>
      <c r="G21" s="2">
        <v>6.4400000000000001E-9</v>
      </c>
      <c r="H21" s="2">
        <v>8.4400000000000004E-13</v>
      </c>
      <c r="I21" s="2">
        <v>1.3799999999999999E-8</v>
      </c>
    </row>
    <row r="22" spans="4:9" x14ac:dyDescent="0.25">
      <c r="D22" s="15"/>
      <c r="E22" s="15" t="s">
        <v>1</v>
      </c>
      <c r="F22" s="1" t="s">
        <v>2</v>
      </c>
      <c r="G22" s="2">
        <v>2.09E-5</v>
      </c>
      <c r="H22" s="2">
        <v>1.19E-6</v>
      </c>
      <c r="I22" s="2">
        <v>1.7099999999999999E-5</v>
      </c>
    </row>
    <row r="23" spans="4:9" x14ac:dyDescent="0.25">
      <c r="D23" s="15"/>
      <c r="E23" s="15"/>
      <c r="F23" s="1" t="s">
        <v>3</v>
      </c>
      <c r="G23" s="2">
        <v>4.8499999999999996E-9</v>
      </c>
      <c r="H23" s="2">
        <v>5.4200000000000001E-13</v>
      </c>
      <c r="I23" s="2">
        <v>1.14E-8</v>
      </c>
    </row>
    <row r="24" spans="4:9" x14ac:dyDescent="0.25">
      <c r="D24" s="15" t="s">
        <v>7</v>
      </c>
      <c r="E24" s="15" t="s">
        <v>0</v>
      </c>
      <c r="F24" s="1" t="s">
        <v>2</v>
      </c>
      <c r="G24" s="2">
        <v>1.98E-5</v>
      </c>
      <c r="H24" s="2">
        <v>4.1199999999999998E-7</v>
      </c>
      <c r="I24" s="2">
        <v>4.0200000000000001E-5</v>
      </c>
    </row>
    <row r="25" spans="4:9" x14ac:dyDescent="0.25">
      <c r="D25" s="15"/>
      <c r="E25" s="15"/>
      <c r="F25" s="1" t="s">
        <v>3</v>
      </c>
      <c r="G25" s="2">
        <v>5.6299999999999998E-9</v>
      </c>
      <c r="H25" s="2">
        <v>1.66E-12</v>
      </c>
      <c r="I25" s="2">
        <v>1.4100000000000001E-8</v>
      </c>
    </row>
    <row r="26" spans="4:9" x14ac:dyDescent="0.25">
      <c r="D26" s="15" t="s">
        <v>8</v>
      </c>
      <c r="E26" s="15" t="s">
        <v>0</v>
      </c>
      <c r="F26" s="1" t="s">
        <v>2</v>
      </c>
      <c r="G26" s="2">
        <v>1.34E-5</v>
      </c>
      <c r="H26" s="2">
        <v>8.8800000000000001E-7</v>
      </c>
      <c r="I26" s="2">
        <v>1.4399999999999999E-5</v>
      </c>
    </row>
    <row r="27" spans="4:9" x14ac:dyDescent="0.25">
      <c r="D27" s="15"/>
      <c r="E27" s="15"/>
      <c r="F27" s="1" t="s">
        <v>3</v>
      </c>
      <c r="G27" s="2">
        <v>3.9700000000000001E-9</v>
      </c>
      <c r="H27" s="2">
        <v>2.2100000000000001E-12</v>
      </c>
      <c r="I27" s="2">
        <v>1.4E-8</v>
      </c>
    </row>
    <row r="28" spans="4:9" x14ac:dyDescent="0.25">
      <c r="D28" s="15"/>
      <c r="E28" s="15" t="s">
        <v>1</v>
      </c>
      <c r="F28" s="1" t="s">
        <v>2</v>
      </c>
      <c r="G28" s="2">
        <v>6.7499999999999997E-6</v>
      </c>
      <c r="H28" s="2">
        <v>1.61E-6</v>
      </c>
      <c r="I28" s="2">
        <v>2.51E-5</v>
      </c>
    </row>
    <row r="29" spans="4:9" x14ac:dyDescent="0.25">
      <c r="D29" s="15"/>
      <c r="E29" s="15"/>
      <c r="F29" s="1" t="s">
        <v>3</v>
      </c>
      <c r="G29" s="2">
        <v>3.8200000000000003E-10</v>
      </c>
      <c r="H29" s="2">
        <v>2.4099999999999998E-13</v>
      </c>
      <c r="I29" s="2">
        <v>2.81E-9</v>
      </c>
    </row>
    <row r="30" spans="4:9" x14ac:dyDescent="0.25">
      <c r="D30" s="15" t="s">
        <v>9</v>
      </c>
      <c r="E30" s="15" t="s">
        <v>0</v>
      </c>
      <c r="F30" s="1" t="s">
        <v>2</v>
      </c>
      <c r="G30" s="2">
        <v>1.8E-5</v>
      </c>
      <c r="H30" s="2">
        <v>1.91E-5</v>
      </c>
      <c r="I30" s="2">
        <v>3.8999999999999999E-5</v>
      </c>
    </row>
    <row r="31" spans="4:9" x14ac:dyDescent="0.25">
      <c r="D31" s="15"/>
      <c r="E31" s="15"/>
      <c r="F31" s="1" t="s">
        <v>3</v>
      </c>
      <c r="G31" s="2">
        <v>7.1699999999999998E-9</v>
      </c>
      <c r="H31" s="2">
        <v>4.7200000000000001E-12</v>
      </c>
      <c r="I31" s="2">
        <v>2.1400000000000001E-10</v>
      </c>
    </row>
    <row r="32" spans="4:9" x14ac:dyDescent="0.25">
      <c r="D32" s="15"/>
      <c r="E32" s="15" t="s">
        <v>1</v>
      </c>
      <c r="F32" s="1" t="s">
        <v>2</v>
      </c>
      <c r="G32" s="2">
        <v>5.8900000000000002E-5</v>
      </c>
      <c r="H32" s="2">
        <v>4.32E-5</v>
      </c>
      <c r="I32" s="2">
        <v>6.4999999999999994E-5</v>
      </c>
    </row>
    <row r="33" spans="4:10" x14ac:dyDescent="0.25">
      <c r="D33" s="15"/>
      <c r="E33" s="15"/>
      <c r="F33" s="1" t="s">
        <v>3</v>
      </c>
      <c r="G33" s="2">
        <v>1.85E-9</v>
      </c>
      <c r="H33" s="2">
        <v>1.24E-12</v>
      </c>
      <c r="I33" s="2">
        <v>3.5000000000000002E-8</v>
      </c>
    </row>
    <row r="34" spans="4:10" x14ac:dyDescent="0.25">
      <c r="D34" s="15" t="s">
        <v>10</v>
      </c>
      <c r="E34" s="15" t="s">
        <v>0</v>
      </c>
      <c r="F34" s="1" t="s">
        <v>2</v>
      </c>
      <c r="G34" s="2">
        <v>1.8600000000000001E-5</v>
      </c>
      <c r="H34" s="2">
        <v>3.0900000000000001E-6</v>
      </c>
      <c r="I34" s="2">
        <v>5.0099999999999998E-5</v>
      </c>
    </row>
    <row r="35" spans="4:10" x14ac:dyDescent="0.25">
      <c r="D35" s="15"/>
      <c r="E35" s="15"/>
      <c r="F35" s="1" t="s">
        <v>3</v>
      </c>
      <c r="G35" s="2">
        <v>2.7000000000000002E-9</v>
      </c>
      <c r="H35" s="2">
        <v>9.3199999999999999E-12</v>
      </c>
      <c r="I35" s="2">
        <v>1.4E-8</v>
      </c>
    </row>
    <row r="36" spans="4:10" x14ac:dyDescent="0.25">
      <c r="D36" s="15"/>
      <c r="E36" s="15" t="s">
        <v>1</v>
      </c>
      <c r="F36" s="1" t="s">
        <v>2</v>
      </c>
      <c r="G36" s="2">
        <v>4.9799999999999998E-6</v>
      </c>
      <c r="H36" s="2">
        <v>4.3000000000000001E-7</v>
      </c>
      <c r="I36" s="2">
        <v>9.8099999999999992E-6</v>
      </c>
    </row>
    <row r="37" spans="4:10" x14ac:dyDescent="0.25">
      <c r="D37" s="15"/>
      <c r="E37" s="15"/>
      <c r="F37" s="1" t="s">
        <v>3</v>
      </c>
      <c r="G37" s="2">
        <v>1.38E-9</v>
      </c>
      <c r="H37" s="2">
        <v>1.9899999999999998E-12</v>
      </c>
      <c r="I37" s="2">
        <v>5.1499999999999998E-9</v>
      </c>
    </row>
    <row r="38" spans="4:10" x14ac:dyDescent="0.25">
      <c r="D38" s="15" t="s">
        <v>11</v>
      </c>
      <c r="E38" s="15" t="s">
        <v>0</v>
      </c>
      <c r="F38" s="1" t="s">
        <v>2</v>
      </c>
      <c r="G38" s="2">
        <v>3.0400000000000002E-4</v>
      </c>
      <c r="H38" s="2">
        <v>8.7399999999999997E-5</v>
      </c>
      <c r="I38" s="2">
        <v>1.67E-3</v>
      </c>
    </row>
    <row r="39" spans="4:10" x14ac:dyDescent="0.25">
      <c r="D39" s="15"/>
      <c r="E39" s="15"/>
      <c r="F39" s="1" t="s">
        <v>3</v>
      </c>
      <c r="G39" s="2">
        <v>8.6399999999999999E-9</v>
      </c>
      <c r="H39" s="2">
        <v>1.7399999999999999E-11</v>
      </c>
      <c r="I39" s="2">
        <v>1.4100000000000001E-8</v>
      </c>
    </row>
    <row r="40" spans="4:10" x14ac:dyDescent="0.25">
      <c r="G40" s="3">
        <f>AVERAGE(G8:G39)</f>
        <v>2.7141214706156249E-3</v>
      </c>
      <c r="H40" s="3">
        <f>AVERAGE(H8:H39)</f>
        <v>1.4838187920687225E-3</v>
      </c>
      <c r="I40" s="3">
        <f>AVERAGE(I8:I39)</f>
        <v>1.1439522328615623E-2</v>
      </c>
      <c r="J40" s="4" t="s">
        <v>16</v>
      </c>
    </row>
    <row r="41" spans="4:10" x14ac:dyDescent="0.25">
      <c r="G41" s="5">
        <f>MEDIAN(G8:G39)</f>
        <v>1.00432E-6</v>
      </c>
      <c r="H41" s="5">
        <f>MEDIAN(H8:H39)</f>
        <v>3.5158700000000001E-8</v>
      </c>
      <c r="I41" s="5">
        <f>MEDIAN(I8:I39)</f>
        <v>8.3499999999999997E-6</v>
      </c>
      <c r="J41" s="6" t="s">
        <v>17</v>
      </c>
    </row>
    <row r="42" spans="4:10" x14ac:dyDescent="0.25">
      <c r="F42" s="7"/>
      <c r="G42" s="8">
        <f>AVERAGE(G8,G10,G12,G14,G16,G18,G20,G22,G24,G26,G28,G30,G32,G34,G36,G38)</f>
        <v>5.42824E-3</v>
      </c>
      <c r="H42" s="8">
        <f>AVERAGE(H8,H10,H12,H14,H16,H18,H20,H22,H24,H26,H28,H30,H32,H34,H36,H38)</f>
        <v>2.9676375812499995E-3</v>
      </c>
      <c r="I42" s="8">
        <f>AVERAGE(I8,I10,I12,I14,I16,I18,I20,I22,I24,I26,I28,I30,I32,I34,I36,I38)</f>
        <v>2.2876204375E-2</v>
      </c>
      <c r="J42" s="9" t="s">
        <v>18</v>
      </c>
    </row>
    <row r="43" spans="4:10" x14ac:dyDescent="0.25">
      <c r="F43" s="7"/>
      <c r="G43" s="8">
        <f>MEDIAN(G8,G10,G12,G14,G16,G18,G20,G22,G24,G26,G28,G30,G32,G34,G36,G38)</f>
        <v>1.9199999999999999E-5</v>
      </c>
      <c r="H43" s="8">
        <f>MEDIAN(H8,H10,H12,H14,H16,H18,H20,H22,H24,H26,H28,H30,H32,H34,H36,H38)</f>
        <v>2.3149999999999999E-6</v>
      </c>
      <c r="I43" s="8">
        <f>MEDIAN(I8,I10,I12,I14,I16,I18,I20,I22,I24,I26,I28,I30,I32,I34,I36,I38)</f>
        <v>3.205E-5</v>
      </c>
      <c r="J43" s="6" t="s">
        <v>19</v>
      </c>
    </row>
    <row r="44" spans="4:10" x14ac:dyDescent="0.25">
      <c r="G44" s="10">
        <f>AVERAGE(G9,G11,G13,G15,G17,G19,G21,G23,G25,G27,G29,G31,G33,G35,G37,G39)</f>
        <v>2.9412312500000006E-9</v>
      </c>
      <c r="H44" s="10">
        <f>AVERAGE(H9,H11,H13,H15,H17,H19,H21,H23,H25,H27,H29,H31,H33,H35,H37,H39)</f>
        <v>2.8874450000000001E-12</v>
      </c>
      <c r="I44" s="10">
        <f>AVERAGE(I9,I11,I13,I15,I17,I19,I21,I23,I25,I27,I29,I31,I33,I35,I37,I39)</f>
        <v>2.8402822312499994E-6</v>
      </c>
      <c r="J44" s="11" t="s">
        <v>20</v>
      </c>
    </row>
    <row r="45" spans="4:10" x14ac:dyDescent="0.25">
      <c r="G45" s="8">
        <f>MEDIAN(G9,G11,G13,G15,G17,G19,G21,G23,G25,G27,G29,G31,G33,G35,G37,G39)</f>
        <v>1.9150000000000001E-9</v>
      </c>
      <c r="H45" s="8">
        <f>MEDIAN(H9,H11,H13,H15,H17,H19,H21,H23,H25,H27,H29,H31,H33,H35,H37,H39)</f>
        <v>1.5050000000000002E-12</v>
      </c>
      <c r="I45" s="8">
        <f>MEDIAN(I9,I11,I13,I15,I17,I19,I21,I23,I25,I27,I29,I31,I33,I35,I37,I39)</f>
        <v>1.4E-8</v>
      </c>
      <c r="J45" s="11" t="s">
        <v>21</v>
      </c>
    </row>
    <row r="46" spans="4:10" x14ac:dyDescent="0.25">
      <c r="G46" s="12" t="s">
        <v>12</v>
      </c>
      <c r="H46" s="13" t="s">
        <v>13</v>
      </c>
      <c r="I46" s="14" t="s">
        <v>14</v>
      </c>
    </row>
  </sheetData>
  <mergeCells count="25">
    <mergeCell ref="E24:E25"/>
    <mergeCell ref="D26:D29"/>
    <mergeCell ref="E26:E27"/>
    <mergeCell ref="E28:E29"/>
    <mergeCell ref="D16:D19"/>
    <mergeCell ref="E16:E17"/>
    <mergeCell ref="D38:D39"/>
    <mergeCell ref="E38:E39"/>
    <mergeCell ref="D30:D33"/>
    <mergeCell ref="E30:E31"/>
    <mergeCell ref="E32:E33"/>
    <mergeCell ref="D34:D37"/>
    <mergeCell ref="E34:E35"/>
    <mergeCell ref="E36:E37"/>
    <mergeCell ref="D24:D25"/>
    <mergeCell ref="E18:E19"/>
    <mergeCell ref="D20:D23"/>
    <mergeCell ref="E20:E21"/>
    <mergeCell ref="E22:E23"/>
    <mergeCell ref="D8:D11"/>
    <mergeCell ref="E8:E9"/>
    <mergeCell ref="E10:E11"/>
    <mergeCell ref="D12:D15"/>
    <mergeCell ref="E12:E13"/>
    <mergeCell ref="E14:E15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F0F66-B73B-4024-8B3D-E85F6FE3C626}">
  <dimension ref="D7:J42"/>
  <sheetViews>
    <sheetView topLeftCell="A7" zoomScale="62" zoomScaleNormal="118" workbookViewId="0">
      <selection activeCell="R58" sqref="R58"/>
    </sheetView>
  </sheetViews>
  <sheetFormatPr defaultRowHeight="15" x14ac:dyDescent="0.25"/>
  <cols>
    <col min="4" max="9" width="9.140625" style="1"/>
    <col min="10" max="10" width="24.140625" customWidth="1"/>
  </cols>
  <sheetData>
    <row r="7" spans="4:9" x14ac:dyDescent="0.25">
      <c r="G7" s="1" t="s">
        <v>12</v>
      </c>
      <c r="H7" s="1" t="s">
        <v>13</v>
      </c>
      <c r="I7" s="1" t="s">
        <v>15</v>
      </c>
    </row>
    <row r="8" spans="4:9" x14ac:dyDescent="0.25">
      <c r="D8" s="15" t="s">
        <v>5</v>
      </c>
      <c r="E8" s="15" t="s">
        <v>0</v>
      </c>
      <c r="F8" s="1" t="s">
        <v>2</v>
      </c>
      <c r="G8" s="2">
        <v>5.6199999999999997E-5</v>
      </c>
      <c r="H8" s="2">
        <v>1.11E-5</v>
      </c>
      <c r="I8" s="2">
        <v>4.9100000000000001E-5</v>
      </c>
    </row>
    <row r="9" spans="4:9" x14ac:dyDescent="0.25">
      <c r="D9" s="15"/>
      <c r="E9" s="15"/>
      <c r="F9" s="1" t="s">
        <v>3</v>
      </c>
      <c r="G9" s="2">
        <v>6E-10</v>
      </c>
      <c r="H9" s="2">
        <v>1.5900000000000001E-12</v>
      </c>
      <c r="I9" s="2">
        <v>5.6800000000000002E-9</v>
      </c>
    </row>
    <row r="10" spans="4:9" x14ac:dyDescent="0.25">
      <c r="D10" s="15"/>
      <c r="E10" s="15" t="s">
        <v>1</v>
      </c>
      <c r="F10" s="1" t="s">
        <v>2</v>
      </c>
      <c r="G10" s="2">
        <v>1.3200000000000001E-5</v>
      </c>
      <c r="H10" s="2">
        <v>3.0199999999999999E-6</v>
      </c>
      <c r="I10" s="2">
        <v>9.5999999999999996E-6</v>
      </c>
    </row>
    <row r="11" spans="4:9" x14ac:dyDescent="0.25">
      <c r="D11" s="15"/>
      <c r="E11" s="15"/>
      <c r="F11" s="1" t="s">
        <v>3</v>
      </c>
      <c r="G11" s="2">
        <v>3.4699999999999999E-10</v>
      </c>
      <c r="H11" s="2">
        <v>2.3499999999999999E-12</v>
      </c>
      <c r="I11" s="2">
        <v>1.42E-8</v>
      </c>
    </row>
    <row r="12" spans="4:9" x14ac:dyDescent="0.25">
      <c r="D12" s="15" t="s">
        <v>4</v>
      </c>
      <c r="E12" s="15" t="s">
        <v>0</v>
      </c>
      <c r="F12" s="1" t="s">
        <v>2</v>
      </c>
      <c r="G12" s="2">
        <v>1.9999999999999999E-6</v>
      </c>
      <c r="H12" s="2">
        <v>3.8299999999999998E-7</v>
      </c>
      <c r="I12" s="2">
        <v>3.76E-6</v>
      </c>
    </row>
    <row r="13" spans="4:9" x14ac:dyDescent="0.25">
      <c r="D13" s="15"/>
      <c r="E13" s="15"/>
      <c r="F13" s="1" t="s">
        <v>3</v>
      </c>
      <c r="G13" s="2">
        <v>1.9800000000000002E-9</v>
      </c>
      <c r="H13" s="2">
        <v>1.42E-12</v>
      </c>
      <c r="I13" s="2">
        <v>6.6000000000000003E-6</v>
      </c>
    </row>
    <row r="14" spans="4:9" x14ac:dyDescent="0.25">
      <c r="D14" s="15"/>
      <c r="E14" s="15" t="s">
        <v>1</v>
      </c>
      <c r="F14" s="1" t="s">
        <v>2</v>
      </c>
      <c r="G14" s="2">
        <v>4.1099999999999996E-6</v>
      </c>
      <c r="H14" s="2">
        <v>7.0300000000000001E-8</v>
      </c>
      <c r="I14" s="2">
        <v>7.0999999999999998E-6</v>
      </c>
    </row>
    <row r="15" spans="4:9" x14ac:dyDescent="0.25">
      <c r="D15" s="15"/>
      <c r="E15" s="15"/>
      <c r="F15" s="1" t="s">
        <v>3</v>
      </c>
      <c r="G15" s="2">
        <v>9.1099999999999996E-10</v>
      </c>
      <c r="H15" s="2">
        <v>6.5600000000000003E-13</v>
      </c>
      <c r="I15" s="2">
        <v>6.1700000000000004E-11</v>
      </c>
    </row>
    <row r="16" spans="4:9" x14ac:dyDescent="0.25">
      <c r="D16" s="15" t="s">
        <v>6</v>
      </c>
      <c r="E16" s="15" t="s">
        <v>0</v>
      </c>
      <c r="F16" s="1" t="s">
        <v>2</v>
      </c>
      <c r="G16" s="2">
        <v>3.1000000000000001E-5</v>
      </c>
      <c r="H16" s="2">
        <v>3.0800000000000001E-7</v>
      </c>
      <c r="I16" s="2">
        <v>1.9000000000000001E-5</v>
      </c>
    </row>
    <row r="17" spans="4:9" x14ac:dyDescent="0.25">
      <c r="D17" s="15"/>
      <c r="E17" s="15"/>
      <c r="F17" s="1" t="s">
        <v>3</v>
      </c>
      <c r="G17" s="2">
        <v>6.4400000000000001E-9</v>
      </c>
      <c r="H17" s="2">
        <v>8.4400000000000004E-13</v>
      </c>
      <c r="I17" s="2">
        <v>1.3799999999999999E-8</v>
      </c>
    </row>
    <row r="18" spans="4:9" x14ac:dyDescent="0.25">
      <c r="D18" s="15"/>
      <c r="E18" s="15" t="s">
        <v>1</v>
      </c>
      <c r="F18" s="1" t="s">
        <v>2</v>
      </c>
      <c r="G18" s="2">
        <v>2.09E-5</v>
      </c>
      <c r="H18" s="2">
        <v>1.19E-6</v>
      </c>
      <c r="I18" s="2">
        <v>1.7099999999999999E-5</v>
      </c>
    </row>
    <row r="19" spans="4:9" x14ac:dyDescent="0.25">
      <c r="D19" s="15"/>
      <c r="E19" s="15"/>
      <c r="F19" s="1" t="s">
        <v>3</v>
      </c>
      <c r="G19" s="2">
        <v>4.8499999999999996E-9</v>
      </c>
      <c r="H19" s="2">
        <v>5.4200000000000001E-13</v>
      </c>
      <c r="I19" s="2">
        <v>1.14E-8</v>
      </c>
    </row>
    <row r="20" spans="4:9" x14ac:dyDescent="0.25">
      <c r="D20" s="15" t="s">
        <v>7</v>
      </c>
      <c r="E20" s="15" t="s">
        <v>0</v>
      </c>
      <c r="F20" s="1" t="s">
        <v>2</v>
      </c>
      <c r="G20" s="2">
        <v>1.98E-5</v>
      </c>
      <c r="H20" s="2">
        <v>4.1199999999999998E-7</v>
      </c>
      <c r="I20" s="2">
        <v>4.0200000000000001E-5</v>
      </c>
    </row>
    <row r="21" spans="4:9" x14ac:dyDescent="0.25">
      <c r="D21" s="15"/>
      <c r="E21" s="15"/>
      <c r="F21" s="1" t="s">
        <v>3</v>
      </c>
      <c r="G21" s="2">
        <v>5.6299999999999998E-9</v>
      </c>
      <c r="H21" s="2">
        <v>1.66E-12</v>
      </c>
      <c r="I21" s="2">
        <v>1.4100000000000001E-8</v>
      </c>
    </row>
    <row r="22" spans="4:9" x14ac:dyDescent="0.25">
      <c r="D22" s="15" t="s">
        <v>8</v>
      </c>
      <c r="E22" s="15" t="s">
        <v>0</v>
      </c>
      <c r="F22" s="1" t="s">
        <v>2</v>
      </c>
      <c r="G22" s="2">
        <v>1.34E-5</v>
      </c>
      <c r="H22" s="2">
        <v>8.8800000000000001E-7</v>
      </c>
      <c r="I22" s="2">
        <v>1.4399999999999999E-5</v>
      </c>
    </row>
    <row r="23" spans="4:9" x14ac:dyDescent="0.25">
      <c r="D23" s="15"/>
      <c r="E23" s="15"/>
      <c r="F23" s="1" t="s">
        <v>3</v>
      </c>
      <c r="G23" s="2">
        <v>3.9700000000000001E-9</v>
      </c>
      <c r="H23" s="2">
        <v>2.2100000000000001E-12</v>
      </c>
      <c r="I23" s="2">
        <v>1.4E-8</v>
      </c>
    </row>
    <row r="24" spans="4:9" x14ac:dyDescent="0.25">
      <c r="D24" s="15"/>
      <c r="E24" s="15" t="s">
        <v>1</v>
      </c>
      <c r="F24" s="1" t="s">
        <v>2</v>
      </c>
      <c r="G24" s="2">
        <v>6.7499999999999997E-6</v>
      </c>
      <c r="H24" s="2">
        <v>1.61E-6</v>
      </c>
      <c r="I24" s="2">
        <v>2.51E-5</v>
      </c>
    </row>
    <row r="25" spans="4:9" x14ac:dyDescent="0.25">
      <c r="D25" s="15"/>
      <c r="E25" s="15"/>
      <c r="F25" s="1" t="s">
        <v>3</v>
      </c>
      <c r="G25" s="2">
        <v>3.8200000000000003E-10</v>
      </c>
      <c r="H25" s="2">
        <v>2.4099999999999998E-13</v>
      </c>
      <c r="I25" s="2">
        <v>2.81E-9</v>
      </c>
    </row>
    <row r="26" spans="4:9" x14ac:dyDescent="0.25">
      <c r="D26" s="15" t="s">
        <v>9</v>
      </c>
      <c r="E26" s="15" t="s">
        <v>0</v>
      </c>
      <c r="F26" s="1" t="s">
        <v>2</v>
      </c>
      <c r="G26" s="2">
        <v>1.8E-5</v>
      </c>
      <c r="H26" s="2">
        <v>1.91E-5</v>
      </c>
      <c r="I26" s="2">
        <v>3.8999999999999999E-5</v>
      </c>
    </row>
    <row r="27" spans="4:9" x14ac:dyDescent="0.25">
      <c r="D27" s="15"/>
      <c r="E27" s="15"/>
      <c r="F27" s="1" t="s">
        <v>3</v>
      </c>
      <c r="G27" s="2">
        <v>7.1699999999999998E-9</v>
      </c>
      <c r="H27" s="2">
        <v>4.7200000000000001E-12</v>
      </c>
      <c r="I27" s="2">
        <v>2.1400000000000001E-10</v>
      </c>
    </row>
    <row r="28" spans="4:9" x14ac:dyDescent="0.25">
      <c r="D28" s="15"/>
      <c r="E28" s="15" t="s">
        <v>1</v>
      </c>
      <c r="F28" s="1" t="s">
        <v>2</v>
      </c>
      <c r="G28" s="2">
        <v>5.8900000000000002E-5</v>
      </c>
      <c r="H28" s="2">
        <v>4.32E-5</v>
      </c>
      <c r="I28" s="2">
        <v>6.4999999999999994E-5</v>
      </c>
    </row>
    <row r="29" spans="4:9" x14ac:dyDescent="0.25">
      <c r="D29" s="15"/>
      <c r="E29" s="15"/>
      <c r="F29" s="1" t="s">
        <v>3</v>
      </c>
      <c r="G29" s="2">
        <v>1.85E-9</v>
      </c>
      <c r="H29" s="2">
        <v>1.24E-12</v>
      </c>
      <c r="I29" s="2">
        <v>3.5000000000000002E-8</v>
      </c>
    </row>
    <row r="30" spans="4:9" x14ac:dyDescent="0.25">
      <c r="D30" s="15" t="s">
        <v>10</v>
      </c>
      <c r="E30" s="15" t="s">
        <v>0</v>
      </c>
      <c r="F30" s="1" t="s">
        <v>2</v>
      </c>
      <c r="G30" s="2">
        <v>1.8600000000000001E-5</v>
      </c>
      <c r="H30" s="2">
        <v>3.0900000000000001E-6</v>
      </c>
      <c r="I30" s="2">
        <v>5.0099999999999998E-5</v>
      </c>
    </row>
    <row r="31" spans="4:9" x14ac:dyDescent="0.25">
      <c r="D31" s="15"/>
      <c r="E31" s="15"/>
      <c r="F31" s="1" t="s">
        <v>3</v>
      </c>
      <c r="G31" s="2">
        <v>2.7000000000000002E-9</v>
      </c>
      <c r="H31" s="2">
        <v>9.3199999999999999E-12</v>
      </c>
      <c r="I31" s="2">
        <v>1.4E-8</v>
      </c>
    </row>
    <row r="32" spans="4:9" x14ac:dyDescent="0.25">
      <c r="D32" s="15"/>
      <c r="E32" s="15" t="s">
        <v>1</v>
      </c>
      <c r="F32" s="1" t="s">
        <v>2</v>
      </c>
      <c r="G32" s="2">
        <v>4.9799999999999998E-6</v>
      </c>
      <c r="H32" s="2">
        <v>4.3000000000000001E-7</v>
      </c>
      <c r="I32" s="2">
        <v>9.8099999999999992E-6</v>
      </c>
    </row>
    <row r="33" spans="4:10" x14ac:dyDescent="0.25">
      <c r="D33" s="15"/>
      <c r="E33" s="15"/>
      <c r="F33" s="1" t="s">
        <v>3</v>
      </c>
      <c r="G33" s="2">
        <v>1.38E-9</v>
      </c>
      <c r="H33" s="2">
        <v>1.9899999999999998E-12</v>
      </c>
      <c r="I33" s="2">
        <v>5.1499999999999998E-9</v>
      </c>
    </row>
    <row r="34" spans="4:10" x14ac:dyDescent="0.25">
      <c r="D34" s="15" t="s">
        <v>11</v>
      </c>
      <c r="E34" s="15" t="s">
        <v>0</v>
      </c>
      <c r="F34" s="1" t="s">
        <v>2</v>
      </c>
      <c r="G34" s="2">
        <v>3.0400000000000002E-4</v>
      </c>
      <c r="H34" s="2">
        <v>8.7399999999999997E-5</v>
      </c>
      <c r="I34" s="2">
        <v>1.67E-3</v>
      </c>
    </row>
    <row r="35" spans="4:10" x14ac:dyDescent="0.25">
      <c r="D35" s="15"/>
      <c r="E35" s="15"/>
      <c r="F35" s="1" t="s">
        <v>3</v>
      </c>
      <c r="G35" s="2">
        <v>8.6399999999999999E-9</v>
      </c>
      <c r="H35" s="2">
        <v>1.7399999999999999E-11</v>
      </c>
      <c r="I35" s="2">
        <v>1.4100000000000001E-8</v>
      </c>
    </row>
    <row r="36" spans="4:10" x14ac:dyDescent="0.25">
      <c r="G36" s="3">
        <f>AVERAGE(G8:G35)</f>
        <v>2.0424530357142859E-5</v>
      </c>
      <c r="H36" s="3">
        <f>AVERAGE(H8:H35)</f>
        <v>6.1500480779642854E-6</v>
      </c>
      <c r="I36" s="3">
        <f>AVERAGE(I8:I35)</f>
        <v>7.2357661275000007E-5</v>
      </c>
      <c r="J36" s="4" t="s">
        <v>16</v>
      </c>
    </row>
    <row r="37" spans="4:10" x14ac:dyDescent="0.25">
      <c r="G37" s="5">
        <f>MEDIAN(G8:G35)</f>
        <v>1.00432E-6</v>
      </c>
      <c r="H37" s="5">
        <f>MEDIAN(H8:H35)</f>
        <v>3.5158700000000001E-8</v>
      </c>
      <c r="I37" s="5">
        <f>MEDIAN(I8:I35)</f>
        <v>5.1800000000000004E-6</v>
      </c>
      <c r="J37" s="6" t="s">
        <v>17</v>
      </c>
    </row>
    <row r="38" spans="4:10" x14ac:dyDescent="0.25">
      <c r="F38" s="7"/>
      <c r="G38" s="8">
        <f>AVERAGE(G8,G10,G12,G14,G16,G18,G20,G22,G24,G26,G28,G30,G32,G34)</f>
        <v>4.0845714285714295E-5</v>
      </c>
      <c r="H38" s="8">
        <f>AVERAGE(H8,H10,H12,H14,H16,H18,H20,H22,H24,H26,H28,H30,H32,H34)</f>
        <v>1.2300092857142856E-5</v>
      </c>
      <c r="I38" s="8">
        <f>AVERAGE(I8,I10,I12,I14,I16,I18,I20,I22,I24,I26,I28,I30,I32,I34)</f>
        <v>1.4423357142857144E-4</v>
      </c>
      <c r="J38" s="9" t="s">
        <v>18</v>
      </c>
    </row>
    <row r="39" spans="4:10" x14ac:dyDescent="0.25">
      <c r="F39" s="7"/>
      <c r="G39" s="8">
        <f>MEDIAN(G8,G10,G12,G14,G16,G18,G20,G22,G24,G26,G28,G30,G32,G34)</f>
        <v>1.8300000000000001E-5</v>
      </c>
      <c r="H39" s="8">
        <f>MEDIAN(H8,H10,H12,H14,H16,H18,H20,H22,H24,H26,H28,H30,H32,H34)</f>
        <v>1.4000000000000001E-6</v>
      </c>
      <c r="I39" s="8">
        <f>MEDIAN(I8,I10,I12,I14,I16,I18,I20,I22,I24,I26,I28,I30,I32,I34)</f>
        <v>2.2050000000000001E-5</v>
      </c>
      <c r="J39" s="6" t="s">
        <v>19</v>
      </c>
    </row>
    <row r="40" spans="4:10" x14ac:dyDescent="0.25">
      <c r="G40" s="10">
        <f>AVERAGE(G9,G11,G13,G15,G17,G19,G21,G23,G25,G27,G29,G31,G33,G35)</f>
        <v>3.3464285714285716E-9</v>
      </c>
      <c r="H40" s="10">
        <f>AVERAGE(H9,H11,H13,H15,H17,H19,H21,H23,H25,H27,H29,H31,H33,H35)</f>
        <v>3.2987857142857144E-12</v>
      </c>
      <c r="I40" s="10">
        <f>AVERAGE(I9,I11,I13,I15,I17,I19,I21,I23,I25,I27,I29,I31,I33,I35)</f>
        <v>4.8175112142857149E-7</v>
      </c>
      <c r="J40" s="11" t="s">
        <v>20</v>
      </c>
    </row>
    <row r="41" spans="4:10" x14ac:dyDescent="0.25">
      <c r="G41" s="8">
        <f>MEDIAN(G9,G11,G13,G15,G17,G19,G21,G23,G25,G27,G29,G31,G33,G35)</f>
        <v>2.3400000000000002E-9</v>
      </c>
      <c r="H41" s="8">
        <f>MEDIAN(H9,H11,H13,H15,H17,H19,H21,H23,H25,H27,H29,H31,H33,H35)</f>
        <v>1.625E-12</v>
      </c>
      <c r="I41" s="8">
        <f>MEDIAN(I9,I11,I13,I15,I17,I19,I21,I23,I25,I27,I29,I31,I33,I35)</f>
        <v>1.3899999999999999E-8</v>
      </c>
      <c r="J41" s="11" t="s">
        <v>21</v>
      </c>
    </row>
    <row r="42" spans="4:10" x14ac:dyDescent="0.25">
      <c r="G42" s="12" t="s">
        <v>12</v>
      </c>
      <c r="H42" s="13" t="s">
        <v>13</v>
      </c>
      <c r="I42" s="14" t="s">
        <v>14</v>
      </c>
    </row>
  </sheetData>
  <mergeCells count="22">
    <mergeCell ref="D20:D21"/>
    <mergeCell ref="E20:E21"/>
    <mergeCell ref="D22:D25"/>
    <mergeCell ref="E22:E23"/>
    <mergeCell ref="E24:E25"/>
    <mergeCell ref="D34:D35"/>
    <mergeCell ref="E34:E35"/>
    <mergeCell ref="D26:D29"/>
    <mergeCell ref="E26:E27"/>
    <mergeCell ref="E28:E29"/>
    <mergeCell ref="D30:D33"/>
    <mergeCell ref="E30:E31"/>
    <mergeCell ref="E32:E33"/>
    <mergeCell ref="D16:D19"/>
    <mergeCell ref="E16:E17"/>
    <mergeCell ref="E18:E19"/>
    <mergeCell ref="D8:D11"/>
    <mergeCell ref="E8:E9"/>
    <mergeCell ref="E10:E11"/>
    <mergeCell ref="D12:D15"/>
    <mergeCell ref="E12:E13"/>
    <mergeCell ref="E14:E15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2</vt:i4>
      </vt:variant>
    </vt:vector>
  </HeadingPairs>
  <TitlesOfParts>
    <vt:vector size="2" baseType="lpstr">
      <vt:lpstr>comJiji</vt:lpstr>
      <vt:lpstr>Folha1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Afonso Costa Henrique</dc:creator>
  <cp:lastModifiedBy>Afonso Costa Henrique</cp:lastModifiedBy>
  <dcterms:created xsi:type="dcterms:W3CDTF">2025-07-22T16:56:11Z</dcterms:created>
  <dcterms:modified xsi:type="dcterms:W3CDTF">2026-04-28T17:43:18Z</dcterms:modified>
</cp:coreProperties>
</file>