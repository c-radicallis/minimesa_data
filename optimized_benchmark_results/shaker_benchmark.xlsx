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fons\OneDrive - Universidade de Lisboa\Controlo de Plataforma Sismica\minimesa_data\optimized_benchmark_results\"/>
    </mc:Choice>
  </mc:AlternateContent>
  <xr:revisionPtr revIDLastSave="0" documentId="13_ncr:1_{138CA3BD-7B6B-454C-BFB7-1D02893D9E76}" xr6:coauthVersionLast="47" xr6:coauthVersionMax="47" xr10:uidLastSave="{00000000-0000-0000-0000-000000000000}"/>
  <bookViews>
    <workbookView xWindow="-60" yWindow="-60" windowWidth="28920" windowHeight="16320" activeTab="1" xr2:uid="{40A5E321-79F6-4163-A8DE-342D0D4D7873}"/>
  </bookViews>
  <sheets>
    <sheet name="comJiji" sheetId="3" r:id="rId1"/>
    <sheet name="Fo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M8" i="1"/>
  <c r="L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L34" i="1"/>
  <c r="M34" i="1"/>
  <c r="L35" i="1"/>
  <c r="M35" i="1"/>
  <c r="M37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8" i="1"/>
  <c r="G38" i="1"/>
  <c r="K38" i="1" s="1"/>
  <c r="H38" i="1"/>
  <c r="L38" i="1" s="1"/>
  <c r="I38" i="1"/>
  <c r="M38" i="1" s="1"/>
  <c r="G40" i="3"/>
  <c r="H40" i="3"/>
  <c r="I40" i="3"/>
  <c r="G41" i="3"/>
  <c r="H41" i="3"/>
  <c r="I41" i="3"/>
  <c r="G42" i="3"/>
  <c r="H42" i="3"/>
  <c r="I42" i="3"/>
  <c r="G43" i="3"/>
  <c r="H43" i="3"/>
  <c r="I43" i="3"/>
  <c r="G44" i="3"/>
  <c r="H44" i="3"/>
  <c r="I44" i="3"/>
  <c r="G45" i="3"/>
  <c r="H45" i="3"/>
  <c r="I45" i="3"/>
  <c r="G41" i="1"/>
  <c r="K41" i="1" s="1"/>
  <c r="I41" i="1"/>
  <c r="M41" i="1" s="1"/>
  <c r="I37" i="1"/>
  <c r="G37" i="1"/>
  <c r="K37" i="1" s="1"/>
  <c r="I40" i="1"/>
  <c r="M40" i="1" s="1"/>
  <c r="G40" i="1"/>
  <c r="K40" i="1" s="1"/>
  <c r="I36" i="1"/>
  <c r="M36" i="1" s="1"/>
  <c r="G36" i="1"/>
  <c r="H41" i="1"/>
  <c r="L41" i="1" s="1"/>
  <c r="H37" i="1"/>
  <c r="L37" i="1" s="1"/>
  <c r="H40" i="1"/>
  <c r="L40" i="1" s="1"/>
  <c r="H36" i="1"/>
  <c r="L36" i="1" s="1"/>
  <c r="I39" i="1"/>
  <c r="M39" i="1" s="1"/>
  <c r="G39" i="1"/>
  <c r="K39" i="1" s="1"/>
  <c r="H39" i="1"/>
  <c r="L39" i="1" s="1"/>
</calcChain>
</file>

<file path=xl/sharedStrings.xml><?xml version="1.0" encoding="utf-8"?>
<sst xmlns="http://schemas.openxmlformats.org/spreadsheetml/2006/main" count="201" uniqueCount="41">
  <si>
    <t>N</t>
  </si>
  <si>
    <t>P</t>
  </si>
  <si>
    <t>acc</t>
  </si>
  <si>
    <t>disp</t>
  </si>
  <si>
    <t>Erzikan</t>
  </si>
  <si>
    <t>El Centro</t>
  </si>
  <si>
    <t>Kobe</t>
  </si>
  <si>
    <t>L'Aquila</t>
  </si>
  <si>
    <t>Newhall</t>
  </si>
  <si>
    <t>Rinaldi</t>
  </si>
  <si>
    <t>Sylmar</t>
  </si>
  <si>
    <t>Tolmezzo</t>
  </si>
  <si>
    <t>PIDF</t>
  </si>
  <si>
    <t>Optimal Control</t>
  </si>
  <si>
    <t>Adapted</t>
  </si>
  <si>
    <t>Adapted Driver (3rd)</t>
  </si>
  <si>
    <t>média MSE Accel &amp; Disp</t>
  </si>
  <si>
    <t>mediana MSE Accel &amp; Disp</t>
  </si>
  <si>
    <t>média MSE Accel</t>
  </si>
  <si>
    <t>mediana MSE Accel</t>
  </si>
  <si>
    <t>média MSE Disp</t>
  </si>
  <si>
    <t>mediana MSE Disp</t>
  </si>
  <si>
    <t>Jiji</t>
  </si>
  <si>
    <t>MSE</t>
  </si>
  <si>
    <t>N &amp; P</t>
  </si>
  <si>
    <t>Average</t>
  </si>
  <si>
    <t>OLI 3rd</t>
  </si>
  <si>
    <t>PID-F</t>
  </si>
  <si>
    <t>LQI</t>
  </si>
  <si>
    <t>El Centro (FN)</t>
  </si>
  <si>
    <t>El Centro (FP)</t>
  </si>
  <si>
    <t>Erzikan (NS)</t>
  </si>
  <si>
    <t>Erzikan (EW)</t>
  </si>
  <si>
    <t>Newhall (FN)</t>
  </si>
  <si>
    <t>Rinaldi (FN)</t>
  </si>
  <si>
    <t>Sylmar (FN)</t>
  </si>
  <si>
    <t>Newhall (FP)</t>
  </si>
  <si>
    <t>Rinaldi (FP)</t>
  </si>
  <si>
    <t>Sylmar (FP)</t>
  </si>
  <si>
    <t>Kobe (NS)</t>
  </si>
  <si>
    <t>Kobe (EW)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</si>
</sst>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0" fillId="3" borderId="0" xfId="0" applyFill="1"/>
    <xf numFmtId="11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  <xf numFmtId="11" fontId="0" fillId="4" borderId="0" xfId="0" applyNumberFormat="1" applyFill="1" applyAlignment="1">
      <alignment horizontal="center" vertical="center"/>
    </xf>
    <xf numFmtId="0" fontId="0" fillId="4" borderId="0" xfId="0" applyFill="1"/>
    <xf numFmtId="1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0" borderId="0" xfId="0" applyAlignment="1">
      <alignment horizontal="right"/>
    </xf>
    <xf numFmtId="0" fontId="0" fillId="9" borderId="0" xfId="0" applyFill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11" fontId="0" fillId="1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>
                <a:solidFill>
                  <a:schemeClr val="tx1"/>
                </a:solidFill>
              </a:rPr>
              <a:t>Acceleration</a:t>
            </a:r>
            <a:r>
              <a:rPr lang="pt-PT" baseline="0">
                <a:solidFill>
                  <a:schemeClr val="tx1"/>
                </a:solidFill>
              </a:rPr>
              <a:t> response spectrum MSE vs control strategy for various seismic signals</a:t>
            </a:r>
            <a:endParaRPr lang="pt-PT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comJiji!$G$7</c:f>
              <c:strCache>
                <c:ptCount val="1"/>
                <c:pt idx="0">
                  <c:v>PIDF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comJiji!$D$8:$F$39</c15:sqref>
                  </c15:fullRef>
                </c:ext>
              </c:extLst>
              <c:f>(comJiji!$D$8:$F$8,comJiji!$D$10:$F$10,comJiji!$D$12:$F$12,comJiji!$D$14:$F$14,comJiji!$D$16:$F$16,comJiji!$D$18:$F$18,comJiji!$D$20:$F$20,comJiji!$D$22:$F$22,comJiji!$D$24:$F$24,comJiji!$D$26:$F$26,comJiji!$D$28:$F$28,comJiji!$D$30:$F$30,comJiji!$D$32:$F$32,comJiji!$D$34:$F$34,comJiji!$D$36:$F$36,comJiji!$D$38:$F$38)</c:f>
              <c:multiLvlStrCache>
                <c:ptCount val="16"/>
                <c:lvl>
                  <c:pt idx="0">
                    <c:v>acc</c:v>
                  </c:pt>
                  <c:pt idx="1">
                    <c:v>acc</c:v>
                  </c:pt>
                  <c:pt idx="2">
                    <c:v>acc</c:v>
                  </c:pt>
                  <c:pt idx="3">
                    <c:v>acc</c:v>
                  </c:pt>
                  <c:pt idx="4">
                    <c:v>acc</c:v>
                  </c:pt>
                  <c:pt idx="5">
                    <c:v>acc</c:v>
                  </c:pt>
                  <c:pt idx="6">
                    <c:v>acc</c:v>
                  </c:pt>
                  <c:pt idx="7">
                    <c:v>acc</c:v>
                  </c:pt>
                  <c:pt idx="8">
                    <c:v>acc</c:v>
                  </c:pt>
                  <c:pt idx="9">
                    <c:v>acc</c:v>
                  </c:pt>
                  <c:pt idx="10">
                    <c:v>acc</c:v>
                  </c:pt>
                  <c:pt idx="11">
                    <c:v>acc</c:v>
                  </c:pt>
                  <c:pt idx="12">
                    <c:v>acc</c:v>
                  </c:pt>
                  <c:pt idx="13">
                    <c:v>acc</c:v>
                  </c:pt>
                  <c:pt idx="14">
                    <c:v>acc</c:v>
                  </c:pt>
                  <c:pt idx="15">
                    <c:v>acc</c:v>
                  </c:pt>
                </c:lvl>
                <c:lvl>
                  <c:pt idx="0">
                    <c:v>N</c:v>
                  </c:pt>
                  <c:pt idx="1">
                    <c:v>P</c:v>
                  </c:pt>
                  <c:pt idx="2">
                    <c:v>N</c:v>
                  </c:pt>
                  <c:pt idx="3">
                    <c:v>P</c:v>
                  </c:pt>
                  <c:pt idx="4">
                    <c:v>N</c:v>
                  </c:pt>
                  <c:pt idx="5">
                    <c:v>P</c:v>
                  </c:pt>
                  <c:pt idx="6">
                    <c:v>N</c:v>
                  </c:pt>
                  <c:pt idx="7">
                    <c:v>P</c:v>
                  </c:pt>
                  <c:pt idx="8">
                    <c:v>N</c:v>
                  </c:pt>
                  <c:pt idx="9">
                    <c:v>N</c:v>
                  </c:pt>
                  <c:pt idx="10">
                    <c:v>P</c:v>
                  </c:pt>
                  <c:pt idx="11">
                    <c:v>N</c:v>
                  </c:pt>
                  <c:pt idx="12">
                    <c:v>P</c:v>
                  </c:pt>
                  <c:pt idx="13">
                    <c:v>N</c:v>
                  </c:pt>
                  <c:pt idx="14">
                    <c:v>P</c:v>
                  </c:pt>
                  <c:pt idx="15">
                    <c:v>N</c:v>
                  </c:pt>
                </c:lvl>
                <c:lvl>
                  <c:pt idx="0">
                    <c:v>El Centro</c:v>
                  </c:pt>
                  <c:pt idx="2">
                    <c:v>Erzikan</c:v>
                  </c:pt>
                  <c:pt idx="4">
                    <c:v>Jiji</c:v>
                  </c:pt>
                  <c:pt idx="6">
                    <c:v>Kobe</c:v>
                  </c:pt>
                  <c:pt idx="8">
                    <c:v>L'Aquila</c:v>
                  </c:pt>
                  <c:pt idx="9">
                    <c:v>Newhall</c:v>
                  </c:pt>
                  <c:pt idx="11">
                    <c:v>Rinaldi</c:v>
                  </c:pt>
                  <c:pt idx="13">
                    <c:v>Sylmar</c:v>
                  </c:pt>
                  <c:pt idx="15">
                    <c:v>Tolmezzo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comJiji!$G$8:$G$39</c15:sqref>
                  </c15:fullRef>
                </c:ext>
              </c:extLst>
              <c:f>(comJiji!$G$8,comJiji!$G$10,comJiji!$G$12,comJiji!$G$14,comJiji!$G$16,comJiji!$G$18,comJiji!$G$20,comJiji!$G$22,comJiji!$G$24,comJiji!$G$26,comJiji!$G$28,comJiji!$G$30,comJiji!$G$32,comJiji!$G$34,comJiji!$G$36,comJiji!$G$38)</c:f>
              <c:numCache>
                <c:formatCode>0.00E+00</c:formatCode>
                <c:ptCount val="16"/>
                <c:pt idx="0">
                  <c:v>5.6199999999999997E-5</c:v>
                </c:pt>
                <c:pt idx="1">
                  <c:v>1.3200000000000001E-5</c:v>
                </c:pt>
                <c:pt idx="2">
                  <c:v>1.9999999999999999E-6</c:v>
                </c:pt>
                <c:pt idx="3">
                  <c:v>4.1099999999999996E-6</c:v>
                </c:pt>
                <c:pt idx="4">
                  <c:v>4.28E-3</c:v>
                </c:pt>
                <c:pt idx="5">
                  <c:v>8.2000000000000003E-2</c:v>
                </c:pt>
                <c:pt idx="6">
                  <c:v>3.1000000000000001E-5</c:v>
                </c:pt>
                <c:pt idx="7">
                  <c:v>2.09E-5</c:v>
                </c:pt>
                <c:pt idx="8">
                  <c:v>1.98E-5</c:v>
                </c:pt>
                <c:pt idx="9">
                  <c:v>1.34E-5</c:v>
                </c:pt>
                <c:pt idx="10">
                  <c:v>6.7499999999999997E-6</c:v>
                </c:pt>
                <c:pt idx="11">
                  <c:v>1.8E-5</c:v>
                </c:pt>
                <c:pt idx="12">
                  <c:v>5.8900000000000002E-5</c:v>
                </c:pt>
                <c:pt idx="13">
                  <c:v>1.8600000000000001E-5</c:v>
                </c:pt>
                <c:pt idx="14">
                  <c:v>4.9799999999999998E-6</c:v>
                </c:pt>
                <c:pt idx="15">
                  <c:v>3.0400000000000002E-4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D-4B9D-97FA-E6B30D32ED66}"/>
            </c:ext>
          </c:extLst>
        </c:ser>
        <c:ser>
          <c:idx val="1"/>
          <c:order val="1"/>
          <c:tx>
            <c:strRef>
              <c:f>comJiji!$H$7</c:f>
              <c:strCache>
                <c:ptCount val="1"/>
                <c:pt idx="0">
                  <c:v>Optimal Control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comJiji!$D$8:$F$39</c15:sqref>
                  </c15:fullRef>
                </c:ext>
              </c:extLst>
              <c:f>(comJiji!$D$8:$F$8,comJiji!$D$10:$F$10,comJiji!$D$12:$F$12,comJiji!$D$14:$F$14,comJiji!$D$16:$F$16,comJiji!$D$18:$F$18,comJiji!$D$20:$F$20,comJiji!$D$22:$F$22,comJiji!$D$24:$F$24,comJiji!$D$26:$F$26,comJiji!$D$28:$F$28,comJiji!$D$30:$F$30,comJiji!$D$32:$F$32,comJiji!$D$34:$F$34,comJiji!$D$36:$F$36,comJiji!$D$38:$F$38)</c:f>
              <c:multiLvlStrCache>
                <c:ptCount val="16"/>
                <c:lvl>
                  <c:pt idx="0">
                    <c:v>acc</c:v>
                  </c:pt>
                  <c:pt idx="1">
                    <c:v>acc</c:v>
                  </c:pt>
                  <c:pt idx="2">
                    <c:v>acc</c:v>
                  </c:pt>
                  <c:pt idx="3">
                    <c:v>acc</c:v>
                  </c:pt>
                  <c:pt idx="4">
                    <c:v>acc</c:v>
                  </c:pt>
                  <c:pt idx="5">
                    <c:v>acc</c:v>
                  </c:pt>
                  <c:pt idx="6">
                    <c:v>acc</c:v>
                  </c:pt>
                  <c:pt idx="7">
                    <c:v>acc</c:v>
                  </c:pt>
                  <c:pt idx="8">
                    <c:v>acc</c:v>
                  </c:pt>
                  <c:pt idx="9">
                    <c:v>acc</c:v>
                  </c:pt>
                  <c:pt idx="10">
                    <c:v>acc</c:v>
                  </c:pt>
                  <c:pt idx="11">
                    <c:v>acc</c:v>
                  </c:pt>
                  <c:pt idx="12">
                    <c:v>acc</c:v>
                  </c:pt>
                  <c:pt idx="13">
                    <c:v>acc</c:v>
                  </c:pt>
                  <c:pt idx="14">
                    <c:v>acc</c:v>
                  </c:pt>
                  <c:pt idx="15">
                    <c:v>acc</c:v>
                  </c:pt>
                </c:lvl>
                <c:lvl>
                  <c:pt idx="0">
                    <c:v>N</c:v>
                  </c:pt>
                  <c:pt idx="1">
                    <c:v>P</c:v>
                  </c:pt>
                  <c:pt idx="2">
                    <c:v>N</c:v>
                  </c:pt>
                  <c:pt idx="3">
                    <c:v>P</c:v>
                  </c:pt>
                  <c:pt idx="4">
                    <c:v>N</c:v>
                  </c:pt>
                  <c:pt idx="5">
                    <c:v>P</c:v>
                  </c:pt>
                  <c:pt idx="6">
                    <c:v>N</c:v>
                  </c:pt>
                  <c:pt idx="7">
                    <c:v>P</c:v>
                  </c:pt>
                  <c:pt idx="8">
                    <c:v>N</c:v>
                  </c:pt>
                  <c:pt idx="9">
                    <c:v>N</c:v>
                  </c:pt>
                  <c:pt idx="10">
                    <c:v>P</c:v>
                  </c:pt>
                  <c:pt idx="11">
                    <c:v>N</c:v>
                  </c:pt>
                  <c:pt idx="12">
                    <c:v>P</c:v>
                  </c:pt>
                  <c:pt idx="13">
                    <c:v>N</c:v>
                  </c:pt>
                  <c:pt idx="14">
                    <c:v>P</c:v>
                  </c:pt>
                  <c:pt idx="15">
                    <c:v>N</c:v>
                  </c:pt>
                </c:lvl>
                <c:lvl>
                  <c:pt idx="0">
                    <c:v>El Centro</c:v>
                  </c:pt>
                  <c:pt idx="2">
                    <c:v>Erzikan</c:v>
                  </c:pt>
                  <c:pt idx="4">
                    <c:v>Jiji</c:v>
                  </c:pt>
                  <c:pt idx="6">
                    <c:v>Kobe</c:v>
                  </c:pt>
                  <c:pt idx="8">
                    <c:v>L'Aquila</c:v>
                  </c:pt>
                  <c:pt idx="9">
                    <c:v>Newhall</c:v>
                  </c:pt>
                  <c:pt idx="11">
                    <c:v>Rinaldi</c:v>
                  </c:pt>
                  <c:pt idx="13">
                    <c:v>Sylmar</c:v>
                  </c:pt>
                  <c:pt idx="15">
                    <c:v>Tolmezzo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comJiji!$H$8:$H$39</c15:sqref>
                  </c15:fullRef>
                </c:ext>
              </c:extLst>
              <c:f>(comJiji!$H$8,comJiji!$H$10,comJiji!$H$12,comJiji!$H$14,comJiji!$H$16,comJiji!$H$18,comJiji!$H$20,comJiji!$H$22,comJiji!$H$24,comJiji!$H$26,comJiji!$H$28,comJiji!$H$30,comJiji!$H$32,comJiji!$H$34,comJiji!$H$36,comJiji!$H$38)</c:f>
              <c:numCache>
                <c:formatCode>0.00E+00</c:formatCode>
                <c:ptCount val="16"/>
                <c:pt idx="0">
                  <c:v>1.11E-5</c:v>
                </c:pt>
                <c:pt idx="1">
                  <c:v>3.0199999999999999E-6</c:v>
                </c:pt>
                <c:pt idx="2">
                  <c:v>3.8299999999999998E-7</c:v>
                </c:pt>
                <c:pt idx="3">
                  <c:v>7.0300000000000001E-8</c:v>
                </c:pt>
                <c:pt idx="4">
                  <c:v>2.2100000000000002E-3</c:v>
                </c:pt>
                <c:pt idx="5">
                  <c:v>4.5100000000000001E-2</c:v>
                </c:pt>
                <c:pt idx="6">
                  <c:v>3.0800000000000001E-7</c:v>
                </c:pt>
                <c:pt idx="7">
                  <c:v>1.19E-6</c:v>
                </c:pt>
                <c:pt idx="8">
                  <c:v>4.1199999999999998E-7</c:v>
                </c:pt>
                <c:pt idx="9">
                  <c:v>8.8800000000000001E-7</c:v>
                </c:pt>
                <c:pt idx="10">
                  <c:v>1.61E-6</c:v>
                </c:pt>
                <c:pt idx="11">
                  <c:v>1.91E-5</c:v>
                </c:pt>
                <c:pt idx="12">
                  <c:v>4.32E-5</c:v>
                </c:pt>
                <c:pt idx="13">
                  <c:v>3.0900000000000001E-6</c:v>
                </c:pt>
                <c:pt idx="14">
                  <c:v>4.3000000000000001E-7</c:v>
                </c:pt>
                <c:pt idx="15">
                  <c:v>8.7399999999999997E-5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D-4B9D-97FA-E6B30D32ED66}"/>
            </c:ext>
          </c:extLst>
        </c:ser>
        <c:ser>
          <c:idx val="2"/>
          <c:order val="2"/>
          <c:tx>
            <c:strRef>
              <c:f>comJiji!$I$7</c:f>
              <c:strCache>
                <c:ptCount val="1"/>
                <c:pt idx="0">
                  <c:v>Adapted Driver (3rd)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comJiji!$D$8:$F$39</c15:sqref>
                  </c15:fullRef>
                </c:ext>
              </c:extLst>
              <c:f>(comJiji!$D$8:$F$8,comJiji!$D$10:$F$10,comJiji!$D$12:$F$12,comJiji!$D$14:$F$14,comJiji!$D$16:$F$16,comJiji!$D$18:$F$18,comJiji!$D$20:$F$20,comJiji!$D$22:$F$22,comJiji!$D$24:$F$24,comJiji!$D$26:$F$26,comJiji!$D$28:$F$28,comJiji!$D$30:$F$30,comJiji!$D$32:$F$32,comJiji!$D$34:$F$34,comJiji!$D$36:$F$36,comJiji!$D$38:$F$38)</c:f>
              <c:multiLvlStrCache>
                <c:ptCount val="16"/>
                <c:lvl>
                  <c:pt idx="0">
                    <c:v>acc</c:v>
                  </c:pt>
                  <c:pt idx="1">
                    <c:v>acc</c:v>
                  </c:pt>
                  <c:pt idx="2">
                    <c:v>acc</c:v>
                  </c:pt>
                  <c:pt idx="3">
                    <c:v>acc</c:v>
                  </c:pt>
                  <c:pt idx="4">
                    <c:v>acc</c:v>
                  </c:pt>
                  <c:pt idx="5">
                    <c:v>acc</c:v>
                  </c:pt>
                  <c:pt idx="6">
                    <c:v>acc</c:v>
                  </c:pt>
                  <c:pt idx="7">
                    <c:v>acc</c:v>
                  </c:pt>
                  <c:pt idx="8">
                    <c:v>acc</c:v>
                  </c:pt>
                  <c:pt idx="9">
                    <c:v>acc</c:v>
                  </c:pt>
                  <c:pt idx="10">
                    <c:v>acc</c:v>
                  </c:pt>
                  <c:pt idx="11">
                    <c:v>acc</c:v>
                  </c:pt>
                  <c:pt idx="12">
                    <c:v>acc</c:v>
                  </c:pt>
                  <c:pt idx="13">
                    <c:v>acc</c:v>
                  </c:pt>
                  <c:pt idx="14">
                    <c:v>acc</c:v>
                  </c:pt>
                  <c:pt idx="15">
                    <c:v>acc</c:v>
                  </c:pt>
                </c:lvl>
                <c:lvl>
                  <c:pt idx="0">
                    <c:v>N</c:v>
                  </c:pt>
                  <c:pt idx="1">
                    <c:v>P</c:v>
                  </c:pt>
                  <c:pt idx="2">
                    <c:v>N</c:v>
                  </c:pt>
                  <c:pt idx="3">
                    <c:v>P</c:v>
                  </c:pt>
                  <c:pt idx="4">
                    <c:v>N</c:v>
                  </c:pt>
                  <c:pt idx="5">
                    <c:v>P</c:v>
                  </c:pt>
                  <c:pt idx="6">
                    <c:v>N</c:v>
                  </c:pt>
                  <c:pt idx="7">
                    <c:v>P</c:v>
                  </c:pt>
                  <c:pt idx="8">
                    <c:v>N</c:v>
                  </c:pt>
                  <c:pt idx="9">
                    <c:v>N</c:v>
                  </c:pt>
                  <c:pt idx="10">
                    <c:v>P</c:v>
                  </c:pt>
                  <c:pt idx="11">
                    <c:v>N</c:v>
                  </c:pt>
                  <c:pt idx="12">
                    <c:v>P</c:v>
                  </c:pt>
                  <c:pt idx="13">
                    <c:v>N</c:v>
                  </c:pt>
                  <c:pt idx="14">
                    <c:v>P</c:v>
                  </c:pt>
                  <c:pt idx="15">
                    <c:v>N</c:v>
                  </c:pt>
                </c:lvl>
                <c:lvl>
                  <c:pt idx="0">
                    <c:v>El Centro</c:v>
                  </c:pt>
                  <c:pt idx="2">
                    <c:v>Erzikan</c:v>
                  </c:pt>
                  <c:pt idx="4">
                    <c:v>Jiji</c:v>
                  </c:pt>
                  <c:pt idx="6">
                    <c:v>Kobe</c:v>
                  </c:pt>
                  <c:pt idx="8">
                    <c:v>L'Aquila</c:v>
                  </c:pt>
                  <c:pt idx="9">
                    <c:v>Newhall</c:v>
                  </c:pt>
                  <c:pt idx="11">
                    <c:v>Rinaldi</c:v>
                  </c:pt>
                  <c:pt idx="13">
                    <c:v>Sylmar</c:v>
                  </c:pt>
                  <c:pt idx="15">
                    <c:v>Tolmezzo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comJiji!$I$8:$I$39</c15:sqref>
                  </c15:fullRef>
                </c:ext>
              </c:extLst>
              <c:f>(comJiji!$I$8,comJiji!$I$10,comJiji!$I$12,comJiji!$I$14,comJiji!$I$16,comJiji!$I$18,comJiji!$I$20,comJiji!$I$22,comJiji!$I$24,comJiji!$I$26,comJiji!$I$28,comJiji!$I$30,comJiji!$I$32,comJiji!$I$34,comJiji!$I$36,comJiji!$I$38)</c:f>
              <c:numCache>
                <c:formatCode>0.00E+00</c:formatCode>
                <c:ptCount val="16"/>
                <c:pt idx="0">
                  <c:v>4.9100000000000001E-5</c:v>
                </c:pt>
                <c:pt idx="1">
                  <c:v>9.5999999999999996E-6</c:v>
                </c:pt>
                <c:pt idx="2">
                  <c:v>3.76E-6</c:v>
                </c:pt>
                <c:pt idx="3">
                  <c:v>7.0999999999999998E-6</c:v>
                </c:pt>
                <c:pt idx="4">
                  <c:v>0.17499999999999999</c:v>
                </c:pt>
                <c:pt idx="5">
                  <c:v>0.189</c:v>
                </c:pt>
                <c:pt idx="6">
                  <c:v>1.9000000000000001E-5</c:v>
                </c:pt>
                <c:pt idx="7">
                  <c:v>1.7099999999999999E-5</c:v>
                </c:pt>
                <c:pt idx="8">
                  <c:v>4.0200000000000001E-5</c:v>
                </c:pt>
                <c:pt idx="9">
                  <c:v>1.4399999999999999E-5</c:v>
                </c:pt>
                <c:pt idx="10">
                  <c:v>2.51E-5</c:v>
                </c:pt>
                <c:pt idx="11">
                  <c:v>3.8999999999999999E-5</c:v>
                </c:pt>
                <c:pt idx="12">
                  <c:v>6.4999999999999994E-5</c:v>
                </c:pt>
                <c:pt idx="13">
                  <c:v>5.0099999999999998E-5</c:v>
                </c:pt>
                <c:pt idx="14">
                  <c:v>9.8099999999999992E-6</c:v>
                </c:pt>
                <c:pt idx="15">
                  <c:v>1.67E-3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FD-4B9D-97FA-E6B30D32E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4880"/>
        <c:axId val="1230026800"/>
      </c:line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0" i="0" u="none" strike="noStrike" kern="1200" baseline="0">
                    <a:solidFill>
                      <a:schemeClr val="tx1"/>
                    </a:solidFill>
                  </a:rPr>
                  <a:t>Acceleration Response Spectrum MSE (m/s^2)</a:t>
                </a:r>
                <a:endParaRPr lang="pt-PT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aseline="0">
                <a:solidFill>
                  <a:schemeClr val="tx1"/>
                </a:solidFill>
              </a:rPr>
              <a:t>Displacement response spectrum MSE vs control strategy for various seismic signals</a:t>
            </a:r>
            <a:endParaRPr lang="pt-PT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comJiji!$G$7</c:f>
              <c:strCache>
                <c:ptCount val="1"/>
                <c:pt idx="0">
                  <c:v>PIDF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comJiji!$D$8:$F$39</c15:sqref>
                  </c15:fullRef>
                </c:ext>
              </c:extLst>
              <c:f>(comJiji!$D$9:$F$9,comJiji!$D$11:$F$11,comJiji!$D$13:$F$13,comJiji!$D$15:$F$15,comJiji!$D$17:$F$17,comJiji!$D$19:$F$19,comJiji!$D$21:$F$21,comJiji!$D$23:$F$23,comJiji!$D$25:$F$25,comJiji!$D$27:$F$27,comJiji!$D$29:$F$29,comJiji!$D$31:$F$31,comJiji!$D$33:$F$33,comJiji!$D$35:$F$35,comJiji!$D$37:$F$37,comJiji!$D$39:$F$39)</c:f>
              <c:multiLvlStrCache>
                <c:ptCount val="16"/>
                <c:lvl>
                  <c:pt idx="0">
                    <c:v>disp</c:v>
                  </c:pt>
                  <c:pt idx="1">
                    <c:v>disp</c:v>
                  </c:pt>
                  <c:pt idx="2">
                    <c:v>disp</c:v>
                  </c:pt>
                  <c:pt idx="3">
                    <c:v>disp</c:v>
                  </c:pt>
                  <c:pt idx="4">
                    <c:v>disp</c:v>
                  </c:pt>
                  <c:pt idx="5">
                    <c:v>disp</c:v>
                  </c:pt>
                  <c:pt idx="6">
                    <c:v>disp</c:v>
                  </c:pt>
                  <c:pt idx="7">
                    <c:v>disp</c:v>
                  </c:pt>
                  <c:pt idx="8">
                    <c:v>disp</c:v>
                  </c:pt>
                  <c:pt idx="9">
                    <c:v>disp</c:v>
                  </c:pt>
                  <c:pt idx="10">
                    <c:v>disp</c:v>
                  </c:pt>
                  <c:pt idx="11">
                    <c:v>disp</c:v>
                  </c:pt>
                  <c:pt idx="12">
                    <c:v>disp</c:v>
                  </c:pt>
                  <c:pt idx="13">
                    <c:v>disp</c:v>
                  </c:pt>
                  <c:pt idx="14">
                    <c:v>disp</c:v>
                  </c:pt>
                  <c:pt idx="15">
                    <c:v>disp</c:v>
                  </c:pt>
                </c:lvl>
                <c:lvl/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comJiji!$G$8:$G$39</c15:sqref>
                  </c15:fullRef>
                </c:ext>
              </c:extLst>
              <c:f>(comJiji!$G$9,comJiji!$G$11,comJiji!$G$13,comJiji!$G$15,comJiji!$G$17,comJiji!$G$19,comJiji!$G$21,comJiji!$G$23,comJiji!$G$25,comJiji!$G$27,comJiji!$G$29,comJiji!$G$31,comJiji!$G$33,comJiji!$G$35,comJiji!$G$37,comJiji!$G$39)</c:f>
              <c:numCache>
                <c:formatCode>0.00E+00</c:formatCode>
                <c:ptCount val="16"/>
                <c:pt idx="0">
                  <c:v>6E-10</c:v>
                </c:pt>
                <c:pt idx="1">
                  <c:v>3.4699999999999999E-10</c:v>
                </c:pt>
                <c:pt idx="2">
                  <c:v>1.9800000000000002E-9</c:v>
                </c:pt>
                <c:pt idx="3">
                  <c:v>9.1099999999999996E-10</c:v>
                </c:pt>
                <c:pt idx="4">
                  <c:v>1.71E-10</c:v>
                </c:pt>
                <c:pt idx="5">
                  <c:v>3.8699999999999999E-11</c:v>
                </c:pt>
                <c:pt idx="6">
                  <c:v>6.4400000000000001E-9</c:v>
                </c:pt>
                <c:pt idx="7">
                  <c:v>4.8499999999999996E-9</c:v>
                </c:pt>
                <c:pt idx="8">
                  <c:v>5.6299999999999998E-9</c:v>
                </c:pt>
                <c:pt idx="9">
                  <c:v>3.9700000000000001E-9</c:v>
                </c:pt>
                <c:pt idx="10">
                  <c:v>3.8200000000000003E-10</c:v>
                </c:pt>
                <c:pt idx="11">
                  <c:v>7.1699999999999998E-9</c:v>
                </c:pt>
                <c:pt idx="12">
                  <c:v>1.85E-9</c:v>
                </c:pt>
                <c:pt idx="13">
                  <c:v>2.7000000000000002E-9</c:v>
                </c:pt>
                <c:pt idx="14">
                  <c:v>1.38E-9</c:v>
                </c:pt>
                <c:pt idx="15">
                  <c:v>8.6399999999999999E-9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A-40F2-BEDD-F1A63840F746}"/>
            </c:ext>
          </c:extLst>
        </c:ser>
        <c:ser>
          <c:idx val="1"/>
          <c:order val="1"/>
          <c:tx>
            <c:strRef>
              <c:f>comJiji!$H$7</c:f>
              <c:strCache>
                <c:ptCount val="1"/>
                <c:pt idx="0">
                  <c:v>Optimal Control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comJiji!$D$8:$F$39</c15:sqref>
                  </c15:fullRef>
                </c:ext>
              </c:extLst>
              <c:f>(comJiji!$D$9:$F$9,comJiji!$D$11:$F$11,comJiji!$D$13:$F$13,comJiji!$D$15:$F$15,comJiji!$D$17:$F$17,comJiji!$D$19:$F$19,comJiji!$D$21:$F$21,comJiji!$D$23:$F$23,comJiji!$D$25:$F$25,comJiji!$D$27:$F$27,comJiji!$D$29:$F$29,comJiji!$D$31:$F$31,comJiji!$D$33:$F$33,comJiji!$D$35:$F$35,comJiji!$D$37:$F$37,comJiji!$D$39:$F$39)</c:f>
              <c:multiLvlStrCache>
                <c:ptCount val="16"/>
                <c:lvl>
                  <c:pt idx="0">
                    <c:v>disp</c:v>
                  </c:pt>
                  <c:pt idx="1">
                    <c:v>disp</c:v>
                  </c:pt>
                  <c:pt idx="2">
                    <c:v>disp</c:v>
                  </c:pt>
                  <c:pt idx="3">
                    <c:v>disp</c:v>
                  </c:pt>
                  <c:pt idx="4">
                    <c:v>disp</c:v>
                  </c:pt>
                  <c:pt idx="5">
                    <c:v>disp</c:v>
                  </c:pt>
                  <c:pt idx="6">
                    <c:v>disp</c:v>
                  </c:pt>
                  <c:pt idx="7">
                    <c:v>disp</c:v>
                  </c:pt>
                  <c:pt idx="8">
                    <c:v>disp</c:v>
                  </c:pt>
                  <c:pt idx="9">
                    <c:v>disp</c:v>
                  </c:pt>
                  <c:pt idx="10">
                    <c:v>disp</c:v>
                  </c:pt>
                  <c:pt idx="11">
                    <c:v>disp</c:v>
                  </c:pt>
                  <c:pt idx="12">
                    <c:v>disp</c:v>
                  </c:pt>
                  <c:pt idx="13">
                    <c:v>disp</c:v>
                  </c:pt>
                  <c:pt idx="14">
                    <c:v>disp</c:v>
                  </c:pt>
                  <c:pt idx="15">
                    <c:v>disp</c:v>
                  </c:pt>
                </c:lvl>
                <c:lvl/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comJiji!$H$8:$H$39</c15:sqref>
                  </c15:fullRef>
                </c:ext>
              </c:extLst>
              <c:f>(comJiji!$H$9,comJiji!$H$11,comJiji!$H$13,comJiji!$H$15,comJiji!$H$17,comJiji!$H$19,comJiji!$H$21,comJiji!$H$23,comJiji!$H$25,comJiji!$H$27,comJiji!$H$29,comJiji!$H$31,comJiji!$H$33,comJiji!$H$35,comJiji!$H$37,comJiji!$H$39)</c:f>
              <c:numCache>
                <c:formatCode>0.00E+00</c:formatCode>
                <c:ptCount val="16"/>
                <c:pt idx="0">
                  <c:v>1.5900000000000001E-12</c:v>
                </c:pt>
                <c:pt idx="1">
                  <c:v>2.3499999999999999E-12</c:v>
                </c:pt>
                <c:pt idx="2">
                  <c:v>1.42E-12</c:v>
                </c:pt>
                <c:pt idx="3">
                  <c:v>6.5600000000000003E-13</c:v>
                </c:pt>
                <c:pt idx="4">
                  <c:v>1.25E-14</c:v>
                </c:pt>
                <c:pt idx="5">
                  <c:v>3.6199999999999997E-15</c:v>
                </c:pt>
                <c:pt idx="6">
                  <c:v>8.4400000000000004E-13</c:v>
                </c:pt>
                <c:pt idx="7">
                  <c:v>5.4200000000000001E-13</c:v>
                </c:pt>
                <c:pt idx="8">
                  <c:v>1.66E-12</c:v>
                </c:pt>
                <c:pt idx="9">
                  <c:v>2.2100000000000001E-12</c:v>
                </c:pt>
                <c:pt idx="10">
                  <c:v>2.4099999999999998E-13</c:v>
                </c:pt>
                <c:pt idx="11">
                  <c:v>4.7200000000000001E-12</c:v>
                </c:pt>
                <c:pt idx="12">
                  <c:v>1.24E-12</c:v>
                </c:pt>
                <c:pt idx="13">
                  <c:v>9.3199999999999999E-12</c:v>
                </c:pt>
                <c:pt idx="14">
                  <c:v>1.9899999999999998E-12</c:v>
                </c:pt>
                <c:pt idx="15">
                  <c:v>1.7399999999999999E-11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A-40F2-BEDD-F1A63840F746}"/>
            </c:ext>
          </c:extLst>
        </c:ser>
        <c:ser>
          <c:idx val="2"/>
          <c:order val="2"/>
          <c:tx>
            <c:strRef>
              <c:f>comJiji!$I$7</c:f>
              <c:strCache>
                <c:ptCount val="1"/>
                <c:pt idx="0">
                  <c:v>Adapted Driver (3rd)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comJiji!$D$8:$F$39</c15:sqref>
                  </c15:fullRef>
                </c:ext>
              </c:extLst>
              <c:f>(comJiji!$D$9:$F$9,comJiji!$D$11:$F$11,comJiji!$D$13:$F$13,comJiji!$D$15:$F$15,comJiji!$D$17:$F$17,comJiji!$D$19:$F$19,comJiji!$D$21:$F$21,comJiji!$D$23:$F$23,comJiji!$D$25:$F$25,comJiji!$D$27:$F$27,comJiji!$D$29:$F$29,comJiji!$D$31:$F$31,comJiji!$D$33:$F$33,comJiji!$D$35:$F$35,comJiji!$D$37:$F$37,comJiji!$D$39:$F$39)</c:f>
              <c:multiLvlStrCache>
                <c:ptCount val="16"/>
                <c:lvl>
                  <c:pt idx="0">
                    <c:v>disp</c:v>
                  </c:pt>
                  <c:pt idx="1">
                    <c:v>disp</c:v>
                  </c:pt>
                  <c:pt idx="2">
                    <c:v>disp</c:v>
                  </c:pt>
                  <c:pt idx="3">
                    <c:v>disp</c:v>
                  </c:pt>
                  <c:pt idx="4">
                    <c:v>disp</c:v>
                  </c:pt>
                  <c:pt idx="5">
                    <c:v>disp</c:v>
                  </c:pt>
                  <c:pt idx="6">
                    <c:v>disp</c:v>
                  </c:pt>
                  <c:pt idx="7">
                    <c:v>disp</c:v>
                  </c:pt>
                  <c:pt idx="8">
                    <c:v>disp</c:v>
                  </c:pt>
                  <c:pt idx="9">
                    <c:v>disp</c:v>
                  </c:pt>
                  <c:pt idx="10">
                    <c:v>disp</c:v>
                  </c:pt>
                  <c:pt idx="11">
                    <c:v>disp</c:v>
                  </c:pt>
                  <c:pt idx="12">
                    <c:v>disp</c:v>
                  </c:pt>
                  <c:pt idx="13">
                    <c:v>disp</c:v>
                  </c:pt>
                  <c:pt idx="14">
                    <c:v>disp</c:v>
                  </c:pt>
                  <c:pt idx="15">
                    <c:v>disp</c:v>
                  </c:pt>
                </c:lvl>
                <c:lvl/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comJiji!$I$8:$I$39</c15:sqref>
                  </c15:fullRef>
                </c:ext>
              </c:extLst>
              <c:f>(comJiji!$I$9,comJiji!$I$11,comJiji!$I$13,comJiji!$I$15,comJiji!$I$17,comJiji!$I$19,comJiji!$I$21,comJiji!$I$23,comJiji!$I$25,comJiji!$I$27,comJiji!$I$29,comJiji!$I$31,comJiji!$I$33,comJiji!$I$35,comJiji!$I$37,comJiji!$I$39)</c:f>
              <c:numCache>
                <c:formatCode>0.00E+00</c:formatCode>
                <c:ptCount val="16"/>
                <c:pt idx="0">
                  <c:v>5.6800000000000002E-9</c:v>
                </c:pt>
                <c:pt idx="1">
                  <c:v>1.42E-8</c:v>
                </c:pt>
                <c:pt idx="2">
                  <c:v>6.6000000000000003E-6</c:v>
                </c:pt>
                <c:pt idx="3">
                  <c:v>6.1700000000000004E-11</c:v>
                </c:pt>
                <c:pt idx="4">
                  <c:v>2.5299999999999998E-5</c:v>
                </c:pt>
                <c:pt idx="5">
                  <c:v>1.34E-5</c:v>
                </c:pt>
                <c:pt idx="6">
                  <c:v>1.3799999999999999E-8</c:v>
                </c:pt>
                <c:pt idx="7">
                  <c:v>1.14E-8</c:v>
                </c:pt>
                <c:pt idx="8">
                  <c:v>1.4100000000000001E-8</c:v>
                </c:pt>
                <c:pt idx="9">
                  <c:v>1.4E-8</c:v>
                </c:pt>
                <c:pt idx="10">
                  <c:v>2.81E-9</c:v>
                </c:pt>
                <c:pt idx="11">
                  <c:v>2.1400000000000001E-10</c:v>
                </c:pt>
                <c:pt idx="12">
                  <c:v>3.5000000000000002E-8</c:v>
                </c:pt>
                <c:pt idx="13">
                  <c:v>1.4E-8</c:v>
                </c:pt>
                <c:pt idx="14">
                  <c:v>5.1499999999999998E-9</c:v>
                </c:pt>
                <c:pt idx="15">
                  <c:v>1.4100000000000001E-8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7A-40F2-BEDD-F1A63840F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4880"/>
        <c:axId val="1230026800"/>
      </c:line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>
                    <a:solidFill>
                      <a:schemeClr val="tx1"/>
                    </a:solidFill>
                  </a:rPr>
                  <a:t>Displacement</a:t>
                </a:r>
                <a:r>
                  <a:rPr lang="pt-PT" sz="1200" baseline="0">
                    <a:solidFill>
                      <a:schemeClr val="tx1"/>
                    </a:solidFill>
                  </a:rPr>
                  <a:t> Response Spectrum MSE (m)</a:t>
                </a:r>
                <a:endParaRPr lang="pt-PT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aseline="0">
                <a:solidFill>
                  <a:schemeClr val="tx1"/>
                </a:solidFill>
              </a:rPr>
              <a:t>Mean &amp; Average Statistics for all seismic signals</a:t>
            </a:r>
            <a:endParaRPr lang="pt-PT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comJiji!$G$7</c:f>
              <c:strCache>
                <c:ptCount val="1"/>
                <c:pt idx="0">
                  <c:v>PIDF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comJiji!$J$40:$J$45</c:f>
              <c:strCache>
                <c:ptCount val="6"/>
                <c:pt idx="0">
                  <c:v>média MSE Accel &amp; Disp</c:v>
                </c:pt>
                <c:pt idx="1">
                  <c:v>mediana MSE Accel &amp; Disp</c:v>
                </c:pt>
                <c:pt idx="2">
                  <c:v>média MSE Accel</c:v>
                </c:pt>
                <c:pt idx="3">
                  <c:v>mediana MSE Accel</c:v>
                </c:pt>
                <c:pt idx="4">
                  <c:v>média MSE Disp</c:v>
                </c:pt>
                <c:pt idx="5">
                  <c:v>mediana MSE Disp</c:v>
                </c:pt>
              </c:strCache>
            </c:strRef>
          </c:cat>
          <c:val>
            <c:numRef>
              <c:f>comJiji!$G$40:$G$45</c:f>
              <c:numCache>
                <c:formatCode>0.00E+00</c:formatCode>
                <c:ptCount val="6"/>
                <c:pt idx="0">
                  <c:v>2.7141214706156249E-3</c:v>
                </c:pt>
                <c:pt idx="1">
                  <c:v>1.00432E-6</c:v>
                </c:pt>
                <c:pt idx="2">
                  <c:v>5.42824E-3</c:v>
                </c:pt>
                <c:pt idx="3">
                  <c:v>1.9199999999999999E-5</c:v>
                </c:pt>
                <c:pt idx="4">
                  <c:v>2.9412312500000006E-9</c:v>
                </c:pt>
                <c:pt idx="5">
                  <c:v>1.9150000000000001E-9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9-4F6F-B138-3C7885DF6E94}"/>
            </c:ext>
          </c:extLst>
        </c:ser>
        <c:ser>
          <c:idx val="1"/>
          <c:order val="1"/>
          <c:tx>
            <c:strRef>
              <c:f>comJiji!$H$7</c:f>
              <c:strCache>
                <c:ptCount val="1"/>
                <c:pt idx="0">
                  <c:v>Optimal Control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comJiji!$J$40:$J$45</c:f>
              <c:strCache>
                <c:ptCount val="6"/>
                <c:pt idx="0">
                  <c:v>média MSE Accel &amp; Disp</c:v>
                </c:pt>
                <c:pt idx="1">
                  <c:v>mediana MSE Accel &amp; Disp</c:v>
                </c:pt>
                <c:pt idx="2">
                  <c:v>média MSE Accel</c:v>
                </c:pt>
                <c:pt idx="3">
                  <c:v>mediana MSE Accel</c:v>
                </c:pt>
                <c:pt idx="4">
                  <c:v>média MSE Disp</c:v>
                </c:pt>
                <c:pt idx="5">
                  <c:v>mediana MSE Disp</c:v>
                </c:pt>
              </c:strCache>
            </c:strRef>
          </c:cat>
          <c:val>
            <c:numRef>
              <c:f>comJiji!$H$40:$H$45</c:f>
              <c:numCache>
                <c:formatCode>0.00E+00</c:formatCode>
                <c:ptCount val="6"/>
                <c:pt idx="0">
                  <c:v>1.4838187920687225E-3</c:v>
                </c:pt>
                <c:pt idx="1">
                  <c:v>3.5158700000000001E-8</c:v>
                </c:pt>
                <c:pt idx="2">
                  <c:v>2.9676375812499995E-3</c:v>
                </c:pt>
                <c:pt idx="3">
                  <c:v>2.3149999999999999E-6</c:v>
                </c:pt>
                <c:pt idx="4">
                  <c:v>2.8874450000000001E-12</c:v>
                </c:pt>
                <c:pt idx="5">
                  <c:v>1.5050000000000002E-12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9-4F6F-B138-3C7885DF6E94}"/>
            </c:ext>
          </c:extLst>
        </c:ser>
        <c:ser>
          <c:idx val="2"/>
          <c:order val="2"/>
          <c:tx>
            <c:strRef>
              <c:f>comJiji!$I$7</c:f>
              <c:strCache>
                <c:ptCount val="1"/>
                <c:pt idx="0">
                  <c:v>Adapted Driver (3rd)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comJiji!$J$40:$J$45</c:f>
              <c:strCache>
                <c:ptCount val="6"/>
                <c:pt idx="0">
                  <c:v>média MSE Accel &amp; Disp</c:v>
                </c:pt>
                <c:pt idx="1">
                  <c:v>mediana MSE Accel &amp; Disp</c:v>
                </c:pt>
                <c:pt idx="2">
                  <c:v>média MSE Accel</c:v>
                </c:pt>
                <c:pt idx="3">
                  <c:v>mediana MSE Accel</c:v>
                </c:pt>
                <c:pt idx="4">
                  <c:v>média MSE Disp</c:v>
                </c:pt>
                <c:pt idx="5">
                  <c:v>mediana MSE Disp</c:v>
                </c:pt>
              </c:strCache>
            </c:strRef>
          </c:cat>
          <c:val>
            <c:numRef>
              <c:f>comJiji!$I$40:$I$45</c:f>
              <c:numCache>
                <c:formatCode>0.00E+00</c:formatCode>
                <c:ptCount val="6"/>
                <c:pt idx="0">
                  <c:v>1.1439522328615623E-2</c:v>
                </c:pt>
                <c:pt idx="1">
                  <c:v>8.3499999999999997E-6</c:v>
                </c:pt>
                <c:pt idx="2">
                  <c:v>2.2876204375E-2</c:v>
                </c:pt>
                <c:pt idx="3">
                  <c:v>3.205E-5</c:v>
                </c:pt>
                <c:pt idx="4">
                  <c:v>2.8402822312499994E-6</c:v>
                </c:pt>
                <c:pt idx="5">
                  <c:v>1.4E-8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49-4F6F-B138-3C7885DF6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4880"/>
        <c:axId val="1230026800"/>
      </c:line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3.0000000000000006E-2"/>
          <c:min val="1.0000000000000006E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>
                    <a:solidFill>
                      <a:schemeClr val="tx1"/>
                    </a:solidFill>
                  </a:rPr>
                  <a:t>Displacement</a:t>
                </a:r>
                <a:r>
                  <a:rPr lang="pt-PT" sz="1200" baseline="0">
                    <a:solidFill>
                      <a:schemeClr val="tx1"/>
                    </a:solidFill>
                  </a:rPr>
                  <a:t> Response Spectrum MSE (m)</a:t>
                </a:r>
                <a:endParaRPr lang="pt-PT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>
                <a:solidFill>
                  <a:schemeClr val="tx1"/>
                </a:solidFill>
              </a:rPr>
              <a:t>Acceleration</a:t>
            </a:r>
            <a:r>
              <a:rPr lang="pt-PT" baseline="0">
                <a:solidFill>
                  <a:schemeClr val="tx1"/>
                </a:solidFill>
              </a:rPr>
              <a:t> response spectrum MSE vs control strategy for various seismic signals</a:t>
            </a:r>
            <a:endParaRPr lang="pt-PT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Folha1!$H$7</c:f>
              <c:strCache>
                <c:ptCount val="1"/>
                <c:pt idx="0">
                  <c:v>PID-F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Folha1!$D$8:$F$35</c15:sqref>
                  </c15:fullRef>
                </c:ext>
              </c:extLst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(Folha1!$D$8:$F$8,Folha1!$D$10:$F$10,Folha1!$D$12:$F$12,Folha1!$D$14:$F$14,Folha1!$D$16:$F$16,Folha1!$D$18:$F$18,Folha1!$D$20:$F$20,Folha1!$D$22:$F$22,Folha1!$D$24:$F$24,Folha1!$D$26:$F$26,Folha1!$D$28:$F$28,Folha1!$D$30:$F$30,Folha1!$D$32:$F$32,Folha1!$D$34:$F$34)</c:f>
              <c:strCache>
                <c:ptCount val="14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Folha1!$H$8:$H$35</c15:sqref>
                  </c15:fullRef>
                </c:ext>
              </c:extLst>
              <c:f>(Folha1!$H$8,Folha1!$H$10,Folha1!$H$12,Folha1!$H$14,Folha1!$H$16,Folha1!$H$18,Folha1!$H$20,Folha1!$H$22,Folha1!$H$24,Folha1!$H$26,Folha1!$H$28,Folha1!$H$30,Folha1!$H$32,Folha1!$H$34)</c:f>
              <c:numCache>
                <c:formatCode>0.00E+00</c:formatCode>
                <c:ptCount val="14"/>
                <c:pt idx="0">
                  <c:v>5.6199999999999997E-5</c:v>
                </c:pt>
                <c:pt idx="1">
                  <c:v>1.3200000000000001E-5</c:v>
                </c:pt>
                <c:pt idx="2">
                  <c:v>1.9999999999999999E-6</c:v>
                </c:pt>
                <c:pt idx="3">
                  <c:v>4.1099999999999996E-6</c:v>
                </c:pt>
                <c:pt idx="4">
                  <c:v>3.1000000000000001E-5</c:v>
                </c:pt>
                <c:pt idx="5">
                  <c:v>2.09E-5</c:v>
                </c:pt>
                <c:pt idx="6">
                  <c:v>1.98E-5</c:v>
                </c:pt>
                <c:pt idx="7">
                  <c:v>1.34E-5</c:v>
                </c:pt>
                <c:pt idx="8">
                  <c:v>6.7499999999999997E-6</c:v>
                </c:pt>
                <c:pt idx="9">
                  <c:v>1.8E-5</c:v>
                </c:pt>
                <c:pt idx="10">
                  <c:v>5.8900000000000002E-5</c:v>
                </c:pt>
                <c:pt idx="11">
                  <c:v>1.8600000000000001E-5</c:v>
                </c:pt>
                <c:pt idx="12">
                  <c:v>4.9799999999999998E-6</c:v>
                </c:pt>
                <c:pt idx="13">
                  <c:v>3.0400000000000002E-4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5-4E58-AC06-AF98CDCBEC7D}"/>
            </c:ext>
          </c:extLst>
        </c:ser>
        <c:ser>
          <c:idx val="1"/>
          <c:order val="1"/>
          <c:tx>
            <c:strRef>
              <c:f>Folha1!$I$7</c:f>
              <c:strCache>
                <c:ptCount val="1"/>
                <c:pt idx="0">
                  <c:v>LQI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Folha1!$D$8:$F$35</c15:sqref>
                  </c15:fullRef>
                </c:ext>
              </c:extLst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(Folha1!$D$8:$F$8,Folha1!$D$10:$F$10,Folha1!$D$12:$F$12,Folha1!$D$14:$F$14,Folha1!$D$16:$F$16,Folha1!$D$18:$F$18,Folha1!$D$20:$F$20,Folha1!$D$22:$F$22,Folha1!$D$24:$F$24,Folha1!$D$26:$F$26,Folha1!$D$28:$F$28,Folha1!$D$30:$F$30,Folha1!$D$32:$F$32,Folha1!$D$34:$F$34)</c:f>
              <c:strCache>
                <c:ptCount val="14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Folha1!$I$8:$I$35</c15:sqref>
                  </c15:fullRef>
                </c:ext>
              </c:extLst>
              <c:f>(Folha1!$I$8,Folha1!$I$10,Folha1!$I$12,Folha1!$I$14,Folha1!$I$16,Folha1!$I$18,Folha1!$I$20,Folha1!$I$22,Folha1!$I$24,Folha1!$I$26,Folha1!$I$28,Folha1!$I$30,Folha1!$I$32,Folha1!$I$34)</c:f>
              <c:numCache>
                <c:formatCode>0.00E+00</c:formatCode>
                <c:ptCount val="14"/>
                <c:pt idx="0">
                  <c:v>1.11E-5</c:v>
                </c:pt>
                <c:pt idx="1">
                  <c:v>3.0199999999999999E-6</c:v>
                </c:pt>
                <c:pt idx="2">
                  <c:v>3.8299999999999998E-7</c:v>
                </c:pt>
                <c:pt idx="3">
                  <c:v>7.0300000000000001E-8</c:v>
                </c:pt>
                <c:pt idx="4">
                  <c:v>3.0800000000000001E-7</c:v>
                </c:pt>
                <c:pt idx="5">
                  <c:v>1.19E-6</c:v>
                </c:pt>
                <c:pt idx="6">
                  <c:v>4.1199999999999998E-7</c:v>
                </c:pt>
                <c:pt idx="7">
                  <c:v>8.8800000000000001E-7</c:v>
                </c:pt>
                <c:pt idx="8">
                  <c:v>1.61E-6</c:v>
                </c:pt>
                <c:pt idx="9">
                  <c:v>2.6800000000000002E-6</c:v>
                </c:pt>
                <c:pt idx="10">
                  <c:v>4.32E-5</c:v>
                </c:pt>
                <c:pt idx="11">
                  <c:v>3.0900000000000001E-6</c:v>
                </c:pt>
                <c:pt idx="12">
                  <c:v>4.3000000000000001E-7</c:v>
                </c:pt>
                <c:pt idx="13">
                  <c:v>8.7399999999999997E-5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5-4E58-AC06-AF98CDCBEC7D}"/>
            </c:ext>
          </c:extLst>
        </c:ser>
        <c:ser>
          <c:idx val="2"/>
          <c:order val="2"/>
          <c:tx>
            <c:strRef>
              <c:f>Folha1!$G$7</c:f>
              <c:strCache>
                <c:ptCount val="1"/>
                <c:pt idx="0">
                  <c:v>OLI 3rd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Folha1!$D$8:$F$35</c15:sqref>
                  </c15:fullRef>
                </c:ext>
              </c:extLst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(Folha1!$D$8:$F$8,Folha1!$D$10:$F$10,Folha1!$D$12:$F$12,Folha1!$D$14:$F$14,Folha1!$D$16:$F$16,Folha1!$D$18:$F$18,Folha1!$D$20:$F$20,Folha1!$D$22:$F$22,Folha1!$D$24:$F$24,Folha1!$D$26:$F$26,Folha1!$D$28:$F$28,Folha1!$D$30:$F$30,Folha1!$D$32:$F$32,Folha1!$D$34:$F$34)</c:f>
              <c:strCache>
                <c:ptCount val="14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Folha1!$G$8:$G$35</c15:sqref>
                  </c15:fullRef>
                </c:ext>
              </c:extLst>
              <c:f>(Folha1!$G$8,Folha1!$G$10,Folha1!$G$12,Folha1!$G$14,Folha1!$G$16,Folha1!$G$18,Folha1!$G$20,Folha1!$G$22,Folha1!$G$24,Folha1!$G$26,Folha1!$G$28,Folha1!$G$30,Folha1!$G$32,Folha1!$G$34)</c:f>
              <c:numCache>
                <c:formatCode>0.00E+00</c:formatCode>
                <c:ptCount val="14"/>
                <c:pt idx="0">
                  <c:v>4.9100000000000001E-5</c:v>
                </c:pt>
                <c:pt idx="1">
                  <c:v>9.5999999999999996E-6</c:v>
                </c:pt>
                <c:pt idx="2">
                  <c:v>3.76E-6</c:v>
                </c:pt>
                <c:pt idx="3">
                  <c:v>7.0999999999999998E-6</c:v>
                </c:pt>
                <c:pt idx="4">
                  <c:v>1.9000000000000001E-5</c:v>
                </c:pt>
                <c:pt idx="5">
                  <c:v>1.7099999999999999E-5</c:v>
                </c:pt>
                <c:pt idx="6">
                  <c:v>4.0200000000000001E-5</c:v>
                </c:pt>
                <c:pt idx="7">
                  <c:v>1.4399999999999999E-5</c:v>
                </c:pt>
                <c:pt idx="8">
                  <c:v>2.51E-5</c:v>
                </c:pt>
                <c:pt idx="9">
                  <c:v>3.8999999999999999E-5</c:v>
                </c:pt>
                <c:pt idx="10">
                  <c:v>6.4999999999999994E-5</c:v>
                </c:pt>
                <c:pt idx="11">
                  <c:v>5.0099999999999998E-5</c:v>
                </c:pt>
                <c:pt idx="12">
                  <c:v>9.8099999999999992E-6</c:v>
                </c:pt>
                <c:pt idx="13">
                  <c:v>1.67E-3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5-4E58-AC06-AF98CDCBE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4880"/>
        <c:axId val="1230026800"/>
      </c:line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2.0000000000000005E-3"/>
          <c:min val="7.0000000000000031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0" i="0" u="none" strike="noStrike" kern="1200" baseline="0">
                    <a:solidFill>
                      <a:schemeClr val="tx1"/>
                    </a:solidFill>
                  </a:rPr>
                  <a:t>Acceleration Response Spectrum MSE (m/s^2)</a:t>
                </a:r>
                <a:endParaRPr lang="pt-PT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aseline="0">
                <a:solidFill>
                  <a:schemeClr val="tx1"/>
                </a:solidFill>
              </a:rPr>
              <a:t>Displacement response spectrum MSE vs control strategy for various seismic signals</a:t>
            </a:r>
            <a:endParaRPr lang="pt-PT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Folha1!$H$7</c:f>
              <c:strCache>
                <c:ptCount val="1"/>
                <c:pt idx="0">
                  <c:v>PID-F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Folha1!$D$8:$F$35</c15:sqref>
                  </c15:fullRef>
                </c:ext>
              </c:extLst>
              <c:f>(Folha1!$D$9:$F$9,Folha1!$D$11:$F$11,Folha1!$D$13:$F$13,Folha1!$D$15:$F$15,Folha1!$D$17:$F$17,Folha1!$D$19:$F$19,Folha1!$D$21:$F$21,Folha1!$D$23:$F$23,Folha1!$D$25:$F$25,Folha1!$D$27:$F$27,Folha1!$D$29:$F$29,Folha1!$D$31:$F$31,Folha1!$D$33:$F$33,Folha1!$D$35:$F$35)</c:f>
              <c:strCache>
                <c:ptCount val="14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Folha1!$H$8:$H$35</c15:sqref>
                  </c15:fullRef>
                </c:ext>
              </c:extLst>
              <c:f>(Folha1!$H$9,Folha1!$H$11,Folha1!$H$13,Folha1!$H$15,Folha1!$H$17,Folha1!$H$19,Folha1!$H$21,Folha1!$H$23,Folha1!$H$25,Folha1!$H$27,Folha1!$H$29,Folha1!$H$31,Folha1!$H$33,Folha1!$H$35)</c:f>
              <c:numCache>
                <c:formatCode>0.00E+00</c:formatCode>
                <c:ptCount val="14"/>
                <c:pt idx="0">
                  <c:v>6E-10</c:v>
                </c:pt>
                <c:pt idx="1">
                  <c:v>3.4699999999999999E-10</c:v>
                </c:pt>
                <c:pt idx="2">
                  <c:v>1.9800000000000002E-9</c:v>
                </c:pt>
                <c:pt idx="3">
                  <c:v>9.1099999999999996E-10</c:v>
                </c:pt>
                <c:pt idx="4">
                  <c:v>6.4400000000000001E-9</c:v>
                </c:pt>
                <c:pt idx="5">
                  <c:v>4.8499999999999996E-9</c:v>
                </c:pt>
                <c:pt idx="6">
                  <c:v>5.6299999999999998E-9</c:v>
                </c:pt>
                <c:pt idx="7">
                  <c:v>3.9700000000000001E-9</c:v>
                </c:pt>
                <c:pt idx="8">
                  <c:v>3.8200000000000003E-10</c:v>
                </c:pt>
                <c:pt idx="9">
                  <c:v>7.1699999999999998E-9</c:v>
                </c:pt>
                <c:pt idx="10">
                  <c:v>1.85E-9</c:v>
                </c:pt>
                <c:pt idx="11">
                  <c:v>2.7000000000000002E-9</c:v>
                </c:pt>
                <c:pt idx="12">
                  <c:v>1.38E-9</c:v>
                </c:pt>
                <c:pt idx="13">
                  <c:v>8.6399999999999999E-9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E-42FB-9F04-031C26ED6FF5}"/>
            </c:ext>
          </c:extLst>
        </c:ser>
        <c:ser>
          <c:idx val="1"/>
          <c:order val="1"/>
          <c:tx>
            <c:strRef>
              <c:f>Folha1!$I$7</c:f>
              <c:strCache>
                <c:ptCount val="1"/>
                <c:pt idx="0">
                  <c:v>LQI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Folha1!$D$8:$F$35</c15:sqref>
                  </c15:fullRef>
                </c:ext>
              </c:extLst>
              <c:f>(Folha1!$D$9:$F$9,Folha1!$D$11:$F$11,Folha1!$D$13:$F$13,Folha1!$D$15:$F$15,Folha1!$D$17:$F$17,Folha1!$D$19:$F$19,Folha1!$D$21:$F$21,Folha1!$D$23:$F$23,Folha1!$D$25:$F$25,Folha1!$D$27:$F$27,Folha1!$D$29:$F$29,Folha1!$D$31:$F$31,Folha1!$D$33:$F$33,Folha1!$D$35:$F$35)</c:f>
              <c:strCache>
                <c:ptCount val="14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Folha1!$I$8:$I$35</c15:sqref>
                  </c15:fullRef>
                </c:ext>
              </c:extLst>
              <c:f>(Folha1!$I$9,Folha1!$I$11,Folha1!$I$13,Folha1!$I$15,Folha1!$I$17,Folha1!$I$19,Folha1!$I$21,Folha1!$I$23,Folha1!$I$25,Folha1!$I$27,Folha1!$I$29,Folha1!$I$31,Folha1!$I$33,Folha1!$I$35)</c:f>
              <c:numCache>
                <c:formatCode>0.00E+00</c:formatCode>
                <c:ptCount val="14"/>
                <c:pt idx="0">
                  <c:v>1.5900000000000001E-12</c:v>
                </c:pt>
                <c:pt idx="1">
                  <c:v>2.3499999999999999E-12</c:v>
                </c:pt>
                <c:pt idx="2">
                  <c:v>1.42E-12</c:v>
                </c:pt>
                <c:pt idx="3">
                  <c:v>6.5600000000000003E-13</c:v>
                </c:pt>
                <c:pt idx="4">
                  <c:v>8.4400000000000004E-13</c:v>
                </c:pt>
                <c:pt idx="5">
                  <c:v>5.4200000000000001E-13</c:v>
                </c:pt>
                <c:pt idx="6">
                  <c:v>1.66E-12</c:v>
                </c:pt>
                <c:pt idx="7">
                  <c:v>2.2100000000000001E-12</c:v>
                </c:pt>
                <c:pt idx="8">
                  <c:v>2.4099999999999998E-13</c:v>
                </c:pt>
                <c:pt idx="9">
                  <c:v>2.1399999999999998E-11</c:v>
                </c:pt>
                <c:pt idx="10">
                  <c:v>1.24E-12</c:v>
                </c:pt>
                <c:pt idx="11">
                  <c:v>9.3199999999999999E-12</c:v>
                </c:pt>
                <c:pt idx="12">
                  <c:v>1.9899999999999998E-12</c:v>
                </c:pt>
                <c:pt idx="13">
                  <c:v>1.7399999999999999E-11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E-42FB-9F04-031C26ED6FF5}"/>
            </c:ext>
          </c:extLst>
        </c:ser>
        <c:ser>
          <c:idx val="2"/>
          <c:order val="2"/>
          <c:tx>
            <c:strRef>
              <c:f>Folha1!$G$7</c:f>
              <c:strCache>
                <c:ptCount val="1"/>
                <c:pt idx="0">
                  <c:v>OLI 3rd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Folha1!$D$8:$F$35</c15:sqref>
                  </c15:fullRef>
                </c:ext>
              </c:extLst>
              <c:f>(Folha1!$D$9:$F$9,Folha1!$D$11:$F$11,Folha1!$D$13:$F$13,Folha1!$D$15:$F$15,Folha1!$D$17:$F$17,Folha1!$D$19:$F$19,Folha1!$D$21:$F$21,Folha1!$D$23:$F$23,Folha1!$D$25:$F$25,Folha1!$D$27:$F$27,Folha1!$D$29:$F$29,Folha1!$D$31:$F$31,Folha1!$D$33:$F$33,Folha1!$D$35:$F$35)</c:f>
              <c:strCache>
                <c:ptCount val="14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Folha1!$G$8:$G$35</c15:sqref>
                  </c15:fullRef>
                </c:ext>
              </c:extLst>
              <c:f>(Folha1!$G$9,Folha1!$G$11,Folha1!$G$13,Folha1!$G$15,Folha1!$G$17,Folha1!$G$19,Folha1!$G$21,Folha1!$G$23,Folha1!$G$25,Folha1!$G$27,Folha1!$G$29,Folha1!$G$31,Folha1!$G$33,Folha1!$G$35)</c:f>
              <c:numCache>
                <c:formatCode>0.00E+00</c:formatCode>
                <c:ptCount val="14"/>
                <c:pt idx="0">
                  <c:v>5.6800000000000002E-9</c:v>
                </c:pt>
                <c:pt idx="1">
                  <c:v>1.42E-8</c:v>
                </c:pt>
                <c:pt idx="2">
                  <c:v>6.6000000000000003E-6</c:v>
                </c:pt>
                <c:pt idx="3">
                  <c:v>6.1700000000000004E-11</c:v>
                </c:pt>
                <c:pt idx="4">
                  <c:v>1.3799999999999999E-8</c:v>
                </c:pt>
                <c:pt idx="5">
                  <c:v>1.14E-8</c:v>
                </c:pt>
                <c:pt idx="6">
                  <c:v>1.4100000000000001E-8</c:v>
                </c:pt>
                <c:pt idx="7">
                  <c:v>1.4E-8</c:v>
                </c:pt>
                <c:pt idx="8">
                  <c:v>2.81E-9</c:v>
                </c:pt>
                <c:pt idx="9">
                  <c:v>2.1400000000000001E-10</c:v>
                </c:pt>
                <c:pt idx="10">
                  <c:v>3.5000000000000002E-8</c:v>
                </c:pt>
                <c:pt idx="11">
                  <c:v>1.4E-8</c:v>
                </c:pt>
                <c:pt idx="12">
                  <c:v>5.1499999999999998E-9</c:v>
                </c:pt>
                <c:pt idx="13">
                  <c:v>1.4100000000000001E-8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E-42FB-9F04-031C26ED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4880"/>
        <c:axId val="1230026800"/>
      </c:line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2.0000000000000008E-5"/>
          <c:min val="2.0000000000000013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>
                    <a:solidFill>
                      <a:schemeClr val="tx1"/>
                    </a:solidFill>
                  </a:rPr>
                  <a:t>Displacement</a:t>
                </a:r>
                <a:r>
                  <a:rPr lang="pt-PT" sz="1200" baseline="0">
                    <a:solidFill>
                      <a:schemeClr val="tx1"/>
                    </a:solidFill>
                  </a:rPr>
                  <a:t> Response Spectrum MSE (m)</a:t>
                </a:r>
                <a:endParaRPr lang="pt-PT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aseline="0">
                <a:solidFill>
                  <a:schemeClr val="tx1"/>
                </a:solidFill>
              </a:rPr>
              <a:t>Mean &amp; Average Statistics for all seismic signals</a:t>
            </a:r>
            <a:endParaRPr lang="pt-PT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Folha1!$H$7</c:f>
              <c:strCache>
                <c:ptCount val="1"/>
                <c:pt idx="0">
                  <c:v>PID-F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Folha1!$F$38:$F$41</c:f>
              <c:strCache>
                <c:ptCount val="4"/>
                <c:pt idx="0">
                  <c:v>média MSE Accel &amp; Disp</c:v>
                </c:pt>
                <c:pt idx="1">
                  <c:v>mediana MSE Accel &amp; Disp</c:v>
                </c:pt>
                <c:pt idx="2">
                  <c:v>mediana MSE Accel</c:v>
                </c:pt>
                <c:pt idx="3">
                  <c:v>mediana MSE Disp</c:v>
                </c:pt>
              </c:strCache>
            </c:strRef>
          </c:cat>
          <c:val>
            <c:numRef>
              <c:f>Folha1!$H$38:$H$41</c:f>
              <c:numCache>
                <c:formatCode>0.00E+00</c:formatCode>
                <c:ptCount val="4"/>
                <c:pt idx="0">
                  <c:v>2.0424530357142859E-5</c:v>
                </c:pt>
                <c:pt idx="1">
                  <c:v>1.00432E-6</c:v>
                </c:pt>
                <c:pt idx="2">
                  <c:v>1.8300000000000001E-5</c:v>
                </c:pt>
                <c:pt idx="3">
                  <c:v>2.3400000000000002E-9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B-4A6C-9D50-0D1FB550CE3F}"/>
            </c:ext>
          </c:extLst>
        </c:ser>
        <c:ser>
          <c:idx val="1"/>
          <c:order val="1"/>
          <c:tx>
            <c:strRef>
              <c:f>Folha1!$I$7</c:f>
              <c:strCache>
                <c:ptCount val="1"/>
                <c:pt idx="0">
                  <c:v>LQI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Folha1!$F$38:$F$41</c:f>
              <c:strCache>
                <c:ptCount val="4"/>
                <c:pt idx="0">
                  <c:v>média MSE Accel &amp; Disp</c:v>
                </c:pt>
                <c:pt idx="1">
                  <c:v>mediana MSE Accel &amp; Disp</c:v>
                </c:pt>
                <c:pt idx="2">
                  <c:v>mediana MSE Accel</c:v>
                </c:pt>
                <c:pt idx="3">
                  <c:v>mediana MSE Disp</c:v>
                </c:pt>
              </c:strCache>
            </c:strRef>
          </c:cat>
          <c:val>
            <c:numRef>
              <c:f>Folha1!$I$38:$I$41</c:f>
              <c:numCache>
                <c:formatCode>0.00E+00</c:formatCode>
                <c:ptCount val="4"/>
                <c:pt idx="0">
                  <c:v>5.5636201022499999E-6</c:v>
                </c:pt>
                <c:pt idx="1">
                  <c:v>3.5160699999999997E-8</c:v>
                </c:pt>
                <c:pt idx="2">
                  <c:v>1.4000000000000001E-6</c:v>
                </c:pt>
                <c:pt idx="3">
                  <c:v>1.625E-12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B-4A6C-9D50-0D1FB550CE3F}"/>
            </c:ext>
          </c:extLst>
        </c:ser>
        <c:ser>
          <c:idx val="2"/>
          <c:order val="2"/>
          <c:tx>
            <c:strRef>
              <c:f>Folha1!$G$7</c:f>
              <c:strCache>
                <c:ptCount val="1"/>
                <c:pt idx="0">
                  <c:v>OLI 3rd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Folha1!$F$38:$F$41</c:f>
              <c:strCache>
                <c:ptCount val="4"/>
                <c:pt idx="0">
                  <c:v>média MSE Accel &amp; Disp</c:v>
                </c:pt>
                <c:pt idx="1">
                  <c:v>mediana MSE Accel &amp; Disp</c:v>
                </c:pt>
                <c:pt idx="2">
                  <c:v>mediana MSE Accel</c:v>
                </c:pt>
                <c:pt idx="3">
                  <c:v>mediana MSE Disp</c:v>
                </c:pt>
              </c:strCache>
            </c:strRef>
          </c:cat>
          <c:val>
            <c:numRef>
              <c:f>Folha1!$G$38:$G$41</c:f>
              <c:numCache>
                <c:formatCode>0.00E+00</c:formatCode>
                <c:ptCount val="4"/>
                <c:pt idx="0">
                  <c:v>7.2357661275000007E-5</c:v>
                </c:pt>
                <c:pt idx="1">
                  <c:v>5.1800000000000004E-6</c:v>
                </c:pt>
                <c:pt idx="2">
                  <c:v>2.2050000000000001E-5</c:v>
                </c:pt>
                <c:pt idx="3">
                  <c:v>1.3899999999999999E-8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1B-4A6C-9D50-0D1FB550C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4880"/>
        <c:axId val="1230026800"/>
      </c:line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2.0000000000000006E-4"/>
          <c:min val="1.0000000000000006E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>
                    <a:solidFill>
                      <a:schemeClr val="tx1"/>
                    </a:solidFill>
                  </a:rPr>
                  <a:t>Displacement</a:t>
                </a:r>
                <a:r>
                  <a:rPr lang="pt-PT" sz="1200" baseline="0">
                    <a:solidFill>
                      <a:schemeClr val="tx1"/>
                    </a:solidFill>
                  </a:rPr>
                  <a:t> Response Spectrum MSE (m)</a:t>
                </a:r>
                <a:endParaRPr lang="pt-PT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91278416952677"/>
          <c:y val="2.6645255634333172E-2"/>
          <c:w val="0.84781793428992214"/>
          <c:h val="0.823146874161913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Folha1!$G$7</c:f>
              <c:strCache>
                <c:ptCount val="1"/>
                <c:pt idx="0">
                  <c:v>OLI 3rd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Folha1!$D$8:$F$37</c15:sqref>
                  </c15:fullRef>
                </c:ext>
              </c:extLst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,Folha1!$D$36:$F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Folha1!$G$8:$G$37</c15:sqref>
                  </c15:fullRef>
                </c:ext>
              </c:extLst>
              <c:f>(Folha1!$G$8,Folha1!$G$10,Folha1!$G$12,Folha1!$G$14,Folha1!$G$16,Folha1!$G$18,Folha1!$G$20,Folha1!$G$22,Folha1!$G$24,Folha1!$G$26,Folha1!$G$28,Folha1!$G$30,Folha1!$G$32,Folha1!$G$34,Folha1!$G$36)</c:f>
              <c:numCache>
                <c:formatCode>0.00E+00</c:formatCode>
                <c:ptCount val="15"/>
                <c:pt idx="0">
                  <c:v>4.9100000000000001E-5</c:v>
                </c:pt>
                <c:pt idx="1">
                  <c:v>9.5999999999999996E-6</c:v>
                </c:pt>
                <c:pt idx="2">
                  <c:v>3.76E-6</c:v>
                </c:pt>
                <c:pt idx="3">
                  <c:v>7.0999999999999998E-6</c:v>
                </c:pt>
                <c:pt idx="4">
                  <c:v>1.9000000000000001E-5</c:v>
                </c:pt>
                <c:pt idx="5">
                  <c:v>1.7099999999999999E-5</c:v>
                </c:pt>
                <c:pt idx="6">
                  <c:v>4.0200000000000001E-5</c:v>
                </c:pt>
                <c:pt idx="7">
                  <c:v>1.4399999999999999E-5</c:v>
                </c:pt>
                <c:pt idx="8">
                  <c:v>2.51E-5</c:v>
                </c:pt>
                <c:pt idx="9">
                  <c:v>3.8999999999999999E-5</c:v>
                </c:pt>
                <c:pt idx="10">
                  <c:v>6.4999999999999994E-5</c:v>
                </c:pt>
                <c:pt idx="11">
                  <c:v>5.0099999999999998E-5</c:v>
                </c:pt>
                <c:pt idx="12">
                  <c:v>9.8099999999999992E-6</c:v>
                </c:pt>
                <c:pt idx="13">
                  <c:v>1.67E-3</c:v>
                </c:pt>
                <c:pt idx="14">
                  <c:v>1.4423357142857144E-4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9-4F6D-98B4-F7848A8EBF1E}"/>
            </c:ext>
          </c:extLst>
        </c:ser>
        <c:ser>
          <c:idx val="0"/>
          <c:order val="1"/>
          <c:tx>
            <c:strRef>
              <c:f>Folha1!$H$7</c:f>
              <c:strCache>
                <c:ptCount val="1"/>
                <c:pt idx="0">
                  <c:v>PID-F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Folha1!$D$8:$F$37</c15:sqref>
                  </c15:fullRef>
                </c:ext>
              </c:extLst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,Folha1!$D$36:$F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Folha1!$H$8:$H$37</c15:sqref>
                  </c15:fullRef>
                </c:ext>
              </c:extLst>
              <c:f>(Folha1!$H$8,Folha1!$H$10,Folha1!$H$12,Folha1!$H$14,Folha1!$H$16,Folha1!$H$18,Folha1!$H$20,Folha1!$H$22,Folha1!$H$24,Folha1!$H$26,Folha1!$H$28,Folha1!$H$30,Folha1!$H$32,Folha1!$H$34,Folha1!$H$36)</c:f>
              <c:numCache>
                <c:formatCode>0.00E+00</c:formatCode>
                <c:ptCount val="15"/>
                <c:pt idx="0">
                  <c:v>5.6199999999999997E-5</c:v>
                </c:pt>
                <c:pt idx="1">
                  <c:v>1.3200000000000001E-5</c:v>
                </c:pt>
                <c:pt idx="2">
                  <c:v>1.9999999999999999E-6</c:v>
                </c:pt>
                <c:pt idx="3">
                  <c:v>4.1099999999999996E-6</c:v>
                </c:pt>
                <c:pt idx="4">
                  <c:v>3.1000000000000001E-5</c:v>
                </c:pt>
                <c:pt idx="5">
                  <c:v>2.09E-5</c:v>
                </c:pt>
                <c:pt idx="6">
                  <c:v>1.98E-5</c:v>
                </c:pt>
                <c:pt idx="7">
                  <c:v>1.34E-5</c:v>
                </c:pt>
                <c:pt idx="8">
                  <c:v>6.7499999999999997E-6</c:v>
                </c:pt>
                <c:pt idx="9">
                  <c:v>1.8E-5</c:v>
                </c:pt>
                <c:pt idx="10">
                  <c:v>5.8900000000000002E-5</c:v>
                </c:pt>
                <c:pt idx="11">
                  <c:v>1.8600000000000001E-5</c:v>
                </c:pt>
                <c:pt idx="12">
                  <c:v>4.9799999999999998E-6</c:v>
                </c:pt>
                <c:pt idx="13">
                  <c:v>3.0400000000000002E-4</c:v>
                </c:pt>
                <c:pt idx="14">
                  <c:v>4.0845714285714295E-5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9-4F6D-98B4-F7848A8EBF1E}"/>
            </c:ext>
          </c:extLst>
        </c:ser>
        <c:ser>
          <c:idx val="1"/>
          <c:order val="2"/>
          <c:tx>
            <c:strRef>
              <c:f>Folha1!$I$7</c:f>
              <c:strCache>
                <c:ptCount val="1"/>
                <c:pt idx="0">
                  <c:v>LQI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Folha1!$D$8:$F$37</c15:sqref>
                  </c15:fullRef>
                </c:ext>
              </c:extLst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,Folha1!$D$36:$F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Folha1!$I$8:$I$37</c15:sqref>
                  </c15:fullRef>
                </c:ext>
              </c:extLst>
              <c:f>(Folha1!$I$8,Folha1!$I$10,Folha1!$I$12,Folha1!$I$14,Folha1!$I$16,Folha1!$I$18,Folha1!$I$20,Folha1!$I$22,Folha1!$I$24,Folha1!$I$26,Folha1!$I$28,Folha1!$I$30,Folha1!$I$32,Folha1!$I$34,Folha1!$I$36)</c:f>
              <c:numCache>
                <c:formatCode>0.00E+00</c:formatCode>
                <c:ptCount val="15"/>
                <c:pt idx="0">
                  <c:v>1.11E-5</c:v>
                </c:pt>
                <c:pt idx="1">
                  <c:v>3.0199999999999999E-6</c:v>
                </c:pt>
                <c:pt idx="2">
                  <c:v>3.8299999999999998E-7</c:v>
                </c:pt>
                <c:pt idx="3">
                  <c:v>7.0300000000000001E-8</c:v>
                </c:pt>
                <c:pt idx="4">
                  <c:v>3.0800000000000001E-7</c:v>
                </c:pt>
                <c:pt idx="5">
                  <c:v>1.19E-6</c:v>
                </c:pt>
                <c:pt idx="6">
                  <c:v>4.1199999999999998E-7</c:v>
                </c:pt>
                <c:pt idx="7">
                  <c:v>8.8800000000000001E-7</c:v>
                </c:pt>
                <c:pt idx="8">
                  <c:v>1.61E-6</c:v>
                </c:pt>
                <c:pt idx="9">
                  <c:v>2.6800000000000002E-6</c:v>
                </c:pt>
                <c:pt idx="10">
                  <c:v>4.32E-5</c:v>
                </c:pt>
                <c:pt idx="11">
                  <c:v>3.0900000000000001E-6</c:v>
                </c:pt>
                <c:pt idx="12">
                  <c:v>4.3000000000000001E-7</c:v>
                </c:pt>
                <c:pt idx="13">
                  <c:v>8.7399999999999997E-5</c:v>
                </c:pt>
                <c:pt idx="14">
                  <c:v>1.1127235714285713E-5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9-4F6D-98B4-F7848A8E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024880"/>
        <c:axId val="1230026800"/>
      </c:bar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1.0000000000000002E-2"/>
          <c:min val="1.0000000000000005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/>
                  <a:t>Acceleration Response Spectrum MSE</a:t>
                </a:r>
                <a:r>
                  <a:rPr lang="pt-PT" sz="1000" baseline="0"/>
                  <a:t> </a:t>
                </a:r>
                <a:r>
                  <a:rPr lang="pt-PT" sz="1000"/>
                  <a:t>(m/s^2)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799020933198893"/>
          <c:y val="0.63885303487392509"/>
          <c:w val="0.44578909140845691"/>
          <c:h val="9.1443890528788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32274127613434"/>
          <c:y val="0.29939158649518882"/>
          <c:w val="0.75640655873337259"/>
          <c:h val="0.6319396515309684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Folha1!$G$7</c:f>
              <c:strCache>
                <c:ptCount val="1"/>
                <c:pt idx="0">
                  <c:v>OLI 3rd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Folha1!$D$8:$F$37</c15:sqref>
                  </c15:fullRef>
                </c:ext>
              </c:extLst>
              <c:f>(Folha1!$D$9:$F$9,Folha1!$D$11:$F$11,Folha1!$D$13:$F$13,Folha1!$D$15:$F$15,Folha1!$D$17:$F$17,Folha1!$D$19:$F$19,Folha1!$D$21:$F$21,Folha1!$D$23:$F$23,Folha1!$D$25:$F$25,Folha1!$D$27:$F$27,Folha1!$D$29:$F$29,Folha1!$D$31:$F$31,Folha1!$D$33:$F$33,Folha1!$D$35:$F$35,Folha1!$D$37:$F$37)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Folha1!$G$8:$G$37</c15:sqref>
                  </c15:fullRef>
                </c:ext>
              </c:extLst>
              <c:f>(Folha1!$G$9,Folha1!$G$11,Folha1!$G$13,Folha1!$G$15,Folha1!$G$17,Folha1!$G$19,Folha1!$G$21,Folha1!$G$23,Folha1!$G$25,Folha1!$G$27,Folha1!$G$29,Folha1!$G$31,Folha1!$G$33,Folha1!$G$35,Folha1!$G$37)</c:f>
              <c:numCache>
                <c:formatCode>0.00E+00</c:formatCode>
                <c:ptCount val="15"/>
                <c:pt idx="0">
                  <c:v>5.6800000000000002E-9</c:v>
                </c:pt>
                <c:pt idx="1">
                  <c:v>1.42E-8</c:v>
                </c:pt>
                <c:pt idx="2">
                  <c:v>6.6000000000000003E-6</c:v>
                </c:pt>
                <c:pt idx="3">
                  <c:v>6.1700000000000004E-11</c:v>
                </c:pt>
                <c:pt idx="4">
                  <c:v>1.3799999999999999E-8</c:v>
                </c:pt>
                <c:pt idx="5">
                  <c:v>1.14E-8</c:v>
                </c:pt>
                <c:pt idx="6">
                  <c:v>1.4100000000000001E-8</c:v>
                </c:pt>
                <c:pt idx="7">
                  <c:v>1.4E-8</c:v>
                </c:pt>
                <c:pt idx="8">
                  <c:v>2.81E-9</c:v>
                </c:pt>
                <c:pt idx="9">
                  <c:v>2.1400000000000001E-10</c:v>
                </c:pt>
                <c:pt idx="10">
                  <c:v>3.5000000000000002E-8</c:v>
                </c:pt>
                <c:pt idx="11">
                  <c:v>1.4E-8</c:v>
                </c:pt>
                <c:pt idx="12">
                  <c:v>5.1499999999999998E-9</c:v>
                </c:pt>
                <c:pt idx="13">
                  <c:v>1.4100000000000001E-8</c:v>
                </c:pt>
                <c:pt idx="14">
                  <c:v>4.8175112142857149E-7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F-46BF-8071-42A153ACB964}"/>
            </c:ext>
          </c:extLst>
        </c:ser>
        <c:ser>
          <c:idx val="0"/>
          <c:order val="1"/>
          <c:tx>
            <c:strRef>
              <c:f>Folha1!$H$7</c:f>
              <c:strCache>
                <c:ptCount val="1"/>
                <c:pt idx="0">
                  <c:v>PID-F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Folha1!$D$8:$F$37</c15:sqref>
                  </c15:fullRef>
                </c:ext>
              </c:extLst>
              <c:f>(Folha1!$D$9:$F$9,Folha1!$D$11:$F$11,Folha1!$D$13:$F$13,Folha1!$D$15:$F$15,Folha1!$D$17:$F$17,Folha1!$D$19:$F$19,Folha1!$D$21:$F$21,Folha1!$D$23:$F$23,Folha1!$D$25:$F$25,Folha1!$D$27:$F$27,Folha1!$D$29:$F$29,Folha1!$D$31:$F$31,Folha1!$D$33:$F$33,Folha1!$D$35:$F$35,Folha1!$D$37:$F$37)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Folha1!$H$8:$H$37</c15:sqref>
                  </c15:fullRef>
                </c:ext>
              </c:extLst>
              <c:f>(Folha1!$H$9,Folha1!$H$11,Folha1!$H$13,Folha1!$H$15,Folha1!$H$17,Folha1!$H$19,Folha1!$H$21,Folha1!$H$23,Folha1!$H$25,Folha1!$H$27,Folha1!$H$29,Folha1!$H$31,Folha1!$H$33,Folha1!$H$35,Folha1!$H$37)</c:f>
              <c:numCache>
                <c:formatCode>0.00E+00</c:formatCode>
                <c:ptCount val="15"/>
                <c:pt idx="0">
                  <c:v>6E-10</c:v>
                </c:pt>
                <c:pt idx="1">
                  <c:v>3.4699999999999999E-10</c:v>
                </c:pt>
                <c:pt idx="2">
                  <c:v>1.9800000000000002E-9</c:v>
                </c:pt>
                <c:pt idx="3">
                  <c:v>9.1099999999999996E-10</c:v>
                </c:pt>
                <c:pt idx="4">
                  <c:v>6.4400000000000001E-9</c:v>
                </c:pt>
                <c:pt idx="5">
                  <c:v>4.8499999999999996E-9</c:v>
                </c:pt>
                <c:pt idx="6">
                  <c:v>5.6299999999999998E-9</c:v>
                </c:pt>
                <c:pt idx="7">
                  <c:v>3.9700000000000001E-9</c:v>
                </c:pt>
                <c:pt idx="8">
                  <c:v>3.8200000000000003E-10</c:v>
                </c:pt>
                <c:pt idx="9">
                  <c:v>7.1699999999999998E-9</c:v>
                </c:pt>
                <c:pt idx="10">
                  <c:v>1.85E-9</c:v>
                </c:pt>
                <c:pt idx="11">
                  <c:v>2.7000000000000002E-9</c:v>
                </c:pt>
                <c:pt idx="12">
                  <c:v>1.38E-9</c:v>
                </c:pt>
                <c:pt idx="13">
                  <c:v>8.6399999999999999E-9</c:v>
                </c:pt>
                <c:pt idx="14">
                  <c:v>3.3464285714285716E-9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F-46BF-8071-42A153ACB964}"/>
            </c:ext>
          </c:extLst>
        </c:ser>
        <c:ser>
          <c:idx val="1"/>
          <c:order val="2"/>
          <c:tx>
            <c:strRef>
              <c:f>Folha1!$I$7</c:f>
              <c:strCache>
                <c:ptCount val="1"/>
                <c:pt idx="0">
                  <c:v>LQI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Folha1!$D$8:$F$37</c15:sqref>
                  </c15:fullRef>
                </c:ext>
              </c:extLst>
              <c:f>(Folha1!$D$9:$F$9,Folha1!$D$11:$F$11,Folha1!$D$13:$F$13,Folha1!$D$15:$F$15,Folha1!$D$17:$F$17,Folha1!$D$19:$F$19,Folha1!$D$21:$F$21,Folha1!$D$23:$F$23,Folha1!$D$25:$F$25,Folha1!$D$27:$F$27,Folha1!$D$29:$F$29,Folha1!$D$31:$F$31,Folha1!$D$33:$F$33,Folha1!$D$35:$F$35,Folha1!$D$37:$F$37)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Folha1!$I$8:$I$37</c15:sqref>
                  </c15:fullRef>
                </c:ext>
              </c:extLst>
              <c:f>(Folha1!$I$9,Folha1!$I$11,Folha1!$I$13,Folha1!$I$15,Folha1!$I$17,Folha1!$I$19,Folha1!$I$21,Folha1!$I$23,Folha1!$I$25,Folha1!$I$27,Folha1!$I$29,Folha1!$I$31,Folha1!$I$33,Folha1!$I$35,Folha1!$I$37)</c:f>
              <c:numCache>
                <c:formatCode>0.00E+00</c:formatCode>
                <c:ptCount val="15"/>
                <c:pt idx="0">
                  <c:v>1.5900000000000001E-12</c:v>
                </c:pt>
                <c:pt idx="1">
                  <c:v>2.3499999999999999E-12</c:v>
                </c:pt>
                <c:pt idx="2">
                  <c:v>1.42E-12</c:v>
                </c:pt>
                <c:pt idx="3">
                  <c:v>6.5600000000000003E-13</c:v>
                </c:pt>
                <c:pt idx="4">
                  <c:v>8.4400000000000004E-13</c:v>
                </c:pt>
                <c:pt idx="5">
                  <c:v>5.4200000000000001E-13</c:v>
                </c:pt>
                <c:pt idx="6">
                  <c:v>1.66E-12</c:v>
                </c:pt>
                <c:pt idx="7">
                  <c:v>2.2100000000000001E-12</c:v>
                </c:pt>
                <c:pt idx="8">
                  <c:v>2.4099999999999998E-13</c:v>
                </c:pt>
                <c:pt idx="9">
                  <c:v>2.1399999999999998E-11</c:v>
                </c:pt>
                <c:pt idx="10">
                  <c:v>1.24E-12</c:v>
                </c:pt>
                <c:pt idx="11">
                  <c:v>9.3199999999999999E-12</c:v>
                </c:pt>
                <c:pt idx="12">
                  <c:v>1.9899999999999998E-12</c:v>
                </c:pt>
                <c:pt idx="13">
                  <c:v>1.7399999999999999E-11</c:v>
                </c:pt>
                <c:pt idx="14">
                  <c:v>4.490214285714286E-12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F-46BF-8071-42A153AC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024880"/>
        <c:axId val="1230026800"/>
      </c:barChart>
      <c:catAx>
        <c:axId val="123002488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1.0000000000000004E-5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Displacement Response Spectrum MSE (m)</a:t>
                </a:r>
              </a:p>
            </c:rich>
          </c:tx>
          <c:layout>
            <c:manualLayout>
              <c:xMode val="edge"/>
              <c:yMode val="edge"/>
              <c:x val="2.2035727371419725E-3"/>
              <c:y val="0.25131314484368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21629108938447"/>
          <c:y val="2.6645255634333172E-2"/>
          <c:w val="0.82921865038140274"/>
          <c:h val="0.730596308126578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Folha1!$G$7</c:f>
              <c:strCache>
                <c:ptCount val="1"/>
                <c:pt idx="0">
                  <c:v>OLI 3rd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,Folha1!$D$36:$F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f>(Folha1!$G$8,Folha1!$G$10,Folha1!$G$12,Folha1!$G$14,Folha1!$G$16,Folha1!$G$18,Folha1!$G$20,Folha1!$G$22,Folha1!$G$24,Folha1!$G$26,Folha1!$G$28,Folha1!$G$30,Folha1!$G$32,Folha1!$G$34,Folha1!$G$36)</c:f>
              <c:numCache>
                <c:formatCode>0.00E+00</c:formatCode>
                <c:ptCount val="15"/>
                <c:pt idx="0">
                  <c:v>4.9100000000000001E-5</c:v>
                </c:pt>
                <c:pt idx="1">
                  <c:v>9.5999999999999996E-6</c:v>
                </c:pt>
                <c:pt idx="2">
                  <c:v>3.76E-6</c:v>
                </c:pt>
                <c:pt idx="3">
                  <c:v>7.0999999999999998E-6</c:v>
                </c:pt>
                <c:pt idx="4">
                  <c:v>1.9000000000000001E-5</c:v>
                </c:pt>
                <c:pt idx="5">
                  <c:v>1.7099999999999999E-5</c:v>
                </c:pt>
                <c:pt idx="6">
                  <c:v>4.0200000000000001E-5</c:v>
                </c:pt>
                <c:pt idx="7">
                  <c:v>1.4399999999999999E-5</c:v>
                </c:pt>
                <c:pt idx="8">
                  <c:v>2.51E-5</c:v>
                </c:pt>
                <c:pt idx="9">
                  <c:v>3.8999999999999999E-5</c:v>
                </c:pt>
                <c:pt idx="10">
                  <c:v>6.4999999999999994E-5</c:v>
                </c:pt>
                <c:pt idx="11">
                  <c:v>5.0099999999999998E-5</c:v>
                </c:pt>
                <c:pt idx="12">
                  <c:v>9.8099999999999992E-6</c:v>
                </c:pt>
                <c:pt idx="13">
                  <c:v>1.67E-3</c:v>
                </c:pt>
                <c:pt idx="14">
                  <c:v>1.4423357142857144E-4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14FF-4599-A91A-D0E9C26877FD}"/>
            </c:ext>
          </c:extLst>
        </c:ser>
        <c:ser>
          <c:idx val="0"/>
          <c:order val="1"/>
          <c:tx>
            <c:strRef>
              <c:f>Folha1!$H$7</c:f>
              <c:strCache>
                <c:ptCount val="1"/>
                <c:pt idx="0">
                  <c:v>PID-F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,Folha1!$D$36:$F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f>(Folha1!$H$8,Folha1!$H$10,Folha1!$H$12,Folha1!$H$14,Folha1!$H$16,Folha1!$H$18,Folha1!$H$20,Folha1!$H$22,Folha1!$H$24,Folha1!$H$26,Folha1!$H$28,Folha1!$H$30,Folha1!$H$32,Folha1!$H$34,Folha1!$H$36)</c:f>
              <c:numCache>
                <c:formatCode>0.00E+00</c:formatCode>
                <c:ptCount val="15"/>
                <c:pt idx="0">
                  <c:v>5.6199999999999997E-5</c:v>
                </c:pt>
                <c:pt idx="1">
                  <c:v>1.3200000000000001E-5</c:v>
                </c:pt>
                <c:pt idx="2">
                  <c:v>1.9999999999999999E-6</c:v>
                </c:pt>
                <c:pt idx="3">
                  <c:v>4.1099999999999996E-6</c:v>
                </c:pt>
                <c:pt idx="4">
                  <c:v>3.1000000000000001E-5</c:v>
                </c:pt>
                <c:pt idx="5">
                  <c:v>2.09E-5</c:v>
                </c:pt>
                <c:pt idx="6">
                  <c:v>1.98E-5</c:v>
                </c:pt>
                <c:pt idx="7">
                  <c:v>1.34E-5</c:v>
                </c:pt>
                <c:pt idx="8">
                  <c:v>6.7499999999999997E-6</c:v>
                </c:pt>
                <c:pt idx="9">
                  <c:v>1.8E-5</c:v>
                </c:pt>
                <c:pt idx="10">
                  <c:v>5.8900000000000002E-5</c:v>
                </c:pt>
                <c:pt idx="11">
                  <c:v>1.8600000000000001E-5</c:v>
                </c:pt>
                <c:pt idx="12">
                  <c:v>4.9799999999999998E-6</c:v>
                </c:pt>
                <c:pt idx="13">
                  <c:v>3.0400000000000002E-4</c:v>
                </c:pt>
                <c:pt idx="14">
                  <c:v>4.0845714285714295E-5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14FF-4599-A91A-D0E9C26877FD}"/>
            </c:ext>
          </c:extLst>
        </c:ser>
        <c:ser>
          <c:idx val="1"/>
          <c:order val="2"/>
          <c:tx>
            <c:strRef>
              <c:f>Folha1!$I$7</c:f>
              <c:strCache>
                <c:ptCount val="1"/>
                <c:pt idx="0">
                  <c:v>LQI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(Folha1!$D$8:$F$8,Folha1!$D$10:$F$10,Folha1!$D$12:$F$12,Folha1!$D$14:$F$14,Folha1!$D$16:$F$16,Folha1!$D$18:$F$18,Folha1!$D$20:$F$20,Folha1!$D$22:$F$22,Folha1!$D$24:$F$24,Folha1!$D$26:$F$26,Folha1!$D$28:$F$28,Folha1!$D$30:$F$30,Folha1!$D$32:$F$32,Folha1!$D$34:$F$34,Folha1!$D$36:$F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f>(Folha1!$I$8,Folha1!$I$10,Folha1!$I$12,Folha1!$I$14,Folha1!$I$16,Folha1!$I$18,Folha1!$I$20,Folha1!$I$22,Folha1!$I$24,Folha1!$I$26,Folha1!$I$28,Folha1!$I$30,Folha1!$I$32,Folha1!$I$34,Folha1!$I$36)</c:f>
              <c:numCache>
                <c:formatCode>0.00E+00</c:formatCode>
                <c:ptCount val="15"/>
                <c:pt idx="0">
                  <c:v>1.11E-5</c:v>
                </c:pt>
                <c:pt idx="1">
                  <c:v>3.0199999999999999E-6</c:v>
                </c:pt>
                <c:pt idx="2">
                  <c:v>3.8299999999999998E-7</c:v>
                </c:pt>
                <c:pt idx="3">
                  <c:v>7.0300000000000001E-8</c:v>
                </c:pt>
                <c:pt idx="4">
                  <c:v>3.0800000000000001E-7</c:v>
                </c:pt>
                <c:pt idx="5">
                  <c:v>1.19E-6</c:v>
                </c:pt>
                <c:pt idx="6">
                  <c:v>4.1199999999999998E-7</c:v>
                </c:pt>
                <c:pt idx="7">
                  <c:v>8.8800000000000001E-7</c:v>
                </c:pt>
                <c:pt idx="8">
                  <c:v>1.61E-6</c:v>
                </c:pt>
                <c:pt idx="9">
                  <c:v>2.6800000000000002E-6</c:v>
                </c:pt>
                <c:pt idx="10">
                  <c:v>4.32E-5</c:v>
                </c:pt>
                <c:pt idx="11">
                  <c:v>3.0900000000000001E-6</c:v>
                </c:pt>
                <c:pt idx="12">
                  <c:v>4.3000000000000001E-7</c:v>
                </c:pt>
                <c:pt idx="13">
                  <c:v>8.7399999999999997E-5</c:v>
                </c:pt>
                <c:pt idx="14">
                  <c:v>1.1127235714285713E-5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14FF-4599-A91A-D0E9C2687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024880"/>
        <c:axId val="1230026800"/>
      </c:bar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logBase val="10"/>
          <c:orientation val="minMax"/>
          <c:max val="1.0000000000000002E-2"/>
          <c:min val="1.0000000000000005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Acceleration Response Spectrum MSE (m/s^2)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00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383884967523325"/>
          <c:y val="0.65654156143217945"/>
          <c:w val="0.76227074574987619"/>
          <c:h val="9.1443890528788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34249432788887"/>
          <c:y val="3.529788079476457E-2"/>
          <c:w val="0.81091179267250157"/>
          <c:h val="0.645787580940669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Folha1!$K$7</c:f>
              <c:strCache>
                <c:ptCount val="1"/>
                <c:pt idx="0">
                  <c:v>OLI 3rd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(Folha1!$J$8,Folha1!$J$10,Folha1!$J$12,Folha1!$J$14,Folha1!$J$16,Folha1!$J$18,Folha1!$J$20,Folha1!$J$22,Folha1!$J$24,Folha1!$J$26,Folha1!$J$28,Folha1!$J$30,Folha1!$J$32,Folha1!$J$34,Folha1!$J$36)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Folha1!$K$8:$K$37</c15:sqref>
                  </c15:fullRef>
                </c:ext>
              </c:extLst>
              <c:f>(Folha1!$K$8,Folha1!$K$10,Folha1!$K$12,Folha1!$K$14,Folha1!$K$16,Folha1!$K$18,Folha1!$K$20,Folha1!$K$22,Folha1!$K$24,Folha1!$K$26,Folha1!$K$28,Folha1!$K$30,Folha1!$K$32,Folha1!$K$34,Folha1!$K$36)</c:f>
              <c:numCache>
                <c:formatCode>General</c:formatCode>
                <c:ptCount val="15"/>
                <c:pt idx="0">
                  <c:v>-4.3089185078770313</c:v>
                </c:pt>
                <c:pt idx="1">
                  <c:v>-5.017728766960432</c:v>
                </c:pt>
                <c:pt idx="2">
                  <c:v>-5.4248121550723392</c:v>
                </c:pt>
                <c:pt idx="3">
                  <c:v>-5.1487416512809245</c:v>
                </c:pt>
                <c:pt idx="4">
                  <c:v>-4.7212463990471711</c:v>
                </c:pt>
                <c:pt idx="5">
                  <c:v>-4.7670038896078459</c:v>
                </c:pt>
                <c:pt idx="6">
                  <c:v>-4.3957739469155301</c:v>
                </c:pt>
                <c:pt idx="7">
                  <c:v>-4.8416375079047507</c:v>
                </c:pt>
                <c:pt idx="8">
                  <c:v>-4.6003262785189616</c:v>
                </c:pt>
                <c:pt idx="9">
                  <c:v>-4.4089353929735005</c:v>
                </c:pt>
                <c:pt idx="10">
                  <c:v>-4.1870866433571443</c:v>
                </c:pt>
                <c:pt idx="11">
                  <c:v>-4.3001622741327541</c:v>
                </c:pt>
                <c:pt idx="12">
                  <c:v>-5.0083309926200519</c:v>
                </c:pt>
                <c:pt idx="13">
                  <c:v>-2.7772835288524167</c:v>
                </c:pt>
                <c:pt idx="14">
                  <c:v>-3.840933642603702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8-4699-B747-487FA6A28B2C}"/>
            </c:ext>
          </c:extLst>
        </c:ser>
        <c:ser>
          <c:idx val="0"/>
          <c:order val="1"/>
          <c:tx>
            <c:strRef>
              <c:f>Folha1!$L$7</c:f>
              <c:strCache>
                <c:ptCount val="1"/>
                <c:pt idx="0">
                  <c:v>PID-F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(Folha1!$J$8,Folha1!$J$10,Folha1!$J$12,Folha1!$J$14,Folha1!$J$16,Folha1!$J$18,Folha1!$J$20,Folha1!$J$22,Folha1!$J$24,Folha1!$J$26,Folha1!$J$28,Folha1!$J$30,Folha1!$J$32,Folha1!$J$34,Folha1!$J$36)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Folha1!$L$8:$L$37</c15:sqref>
                  </c15:fullRef>
                </c:ext>
              </c:extLst>
              <c:f>(Folha1!$L$8,Folha1!$L$10,Folha1!$L$12,Folha1!$L$14,Folha1!$L$16,Folha1!$L$18,Folha1!$L$20,Folha1!$L$22,Folha1!$L$24,Folha1!$L$26,Folha1!$L$28,Folha1!$L$30,Folha1!$L$32,Folha1!$L$34,Folha1!$L$36)</c:f>
              <c:numCache>
                <c:formatCode>General</c:formatCode>
                <c:ptCount val="15"/>
                <c:pt idx="0">
                  <c:v>-4.2502636844309389</c:v>
                </c:pt>
                <c:pt idx="1">
                  <c:v>-4.8794260687941504</c:v>
                </c:pt>
                <c:pt idx="2">
                  <c:v>-5.6989700043360187</c:v>
                </c:pt>
                <c:pt idx="3">
                  <c:v>-5.3861581781239307</c:v>
                </c:pt>
                <c:pt idx="4">
                  <c:v>-4.5086383061657269</c:v>
                </c:pt>
                <c:pt idx="5">
                  <c:v>-4.6798537138889458</c:v>
                </c:pt>
                <c:pt idx="6">
                  <c:v>-4.7033348097384691</c:v>
                </c:pt>
                <c:pt idx="7">
                  <c:v>-4.8728952016351927</c:v>
                </c:pt>
                <c:pt idx="8">
                  <c:v>-5.1706962271689747</c:v>
                </c:pt>
                <c:pt idx="9">
                  <c:v>-4.7447274948966935</c:v>
                </c:pt>
                <c:pt idx="10">
                  <c:v>-4.2298847052128981</c:v>
                </c:pt>
                <c:pt idx="11">
                  <c:v>-4.7304870557820839</c:v>
                </c:pt>
                <c:pt idx="12">
                  <c:v>-5.3027706572402824</c:v>
                </c:pt>
                <c:pt idx="13">
                  <c:v>-3.5171264163912461</c:v>
                </c:pt>
                <c:pt idx="14">
                  <c:v>-4.3888535048526878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98-4699-B747-487FA6A28B2C}"/>
            </c:ext>
          </c:extLst>
        </c:ser>
        <c:ser>
          <c:idx val="1"/>
          <c:order val="2"/>
          <c:tx>
            <c:strRef>
              <c:f>Folha1!$M$7</c:f>
              <c:strCache>
                <c:ptCount val="1"/>
                <c:pt idx="0">
                  <c:v>LQI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(Folha1!$J$8,Folha1!$J$10,Folha1!$J$12,Folha1!$J$14,Folha1!$J$16,Folha1!$J$18,Folha1!$J$20,Folha1!$J$22,Folha1!$J$24,Folha1!$J$26,Folha1!$J$28,Folha1!$J$30,Folha1!$J$32,Folha1!$J$34,Folha1!$J$36)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Folha1!$M$8:$M$37</c15:sqref>
                  </c15:fullRef>
                </c:ext>
              </c:extLst>
              <c:f>(Folha1!$M$8,Folha1!$M$10,Folha1!$M$12,Folha1!$M$14,Folha1!$M$16,Folha1!$M$18,Folha1!$M$20,Folha1!$M$22,Folha1!$M$24,Folha1!$M$26,Folha1!$M$28,Folha1!$M$30,Folha1!$M$32,Folha1!$M$34,Folha1!$M$36)</c:f>
              <c:numCache>
                <c:formatCode>General</c:formatCode>
                <c:ptCount val="15"/>
                <c:pt idx="0">
                  <c:v>-4.9546770212133424</c:v>
                </c:pt>
                <c:pt idx="1">
                  <c:v>-5.519993057042849</c:v>
                </c:pt>
                <c:pt idx="2">
                  <c:v>-6.4168012260313771</c:v>
                </c:pt>
                <c:pt idx="3">
                  <c:v>-7.1530446749801762</c:v>
                </c:pt>
                <c:pt idx="4">
                  <c:v>-6.5114492834995561</c:v>
                </c:pt>
                <c:pt idx="5">
                  <c:v>-5.924453038607469</c:v>
                </c:pt>
                <c:pt idx="6">
                  <c:v>-6.3851027839668655</c:v>
                </c:pt>
                <c:pt idx="7">
                  <c:v>-6.0515870342213987</c:v>
                </c:pt>
                <c:pt idx="8">
                  <c:v>-5.79317412396815</c:v>
                </c:pt>
                <c:pt idx="9">
                  <c:v>-5.5718652059712115</c:v>
                </c:pt>
                <c:pt idx="10">
                  <c:v>-4.3645162531850881</c:v>
                </c:pt>
                <c:pt idx="11">
                  <c:v>-5.5100415205751654</c:v>
                </c:pt>
                <c:pt idx="12">
                  <c:v>-6.3665315444204138</c:v>
                </c:pt>
                <c:pt idx="13">
                  <c:v>-4.0584885673655968</c:v>
                </c:pt>
                <c:pt idx="14">
                  <c:v>-4.9536127119580806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98-4699-B747-487FA6A28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024880"/>
        <c:axId val="1230026800"/>
      </c:bar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orientation val="minMax"/>
          <c:max val="-2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PT"/>
                  <a:t>Acceleration Response Spectrum MSE (m s</a:t>
                </a:r>
                <a:r>
                  <a:rPr lang="pt-PT" baseline="30000"/>
                  <a:t>-2</a:t>
                </a:r>
                <a:r>
                  <a:rPr lang="pt-PT"/>
                  <a:t>)</a:t>
                </a:r>
              </a:p>
            </c:rich>
          </c:tx>
          <c:layout>
            <c:manualLayout>
              <c:xMode val="edge"/>
              <c:yMode val="edge"/>
              <c:x val="1.2355920968811033E-2"/>
              <c:y val="0.184989711080670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PT"/>
            </a:p>
          </c:txPr>
        </c:title>
        <c:numFmt formatCode="[=-2]&quot;10⁻²&quot;;[=-8]&quot;10⁻⁸&quot;" sourceLinked="0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1230024880"/>
        <c:crosses val="autoZero"/>
        <c:crossBetween val="between"/>
        <c:majorUnit val="6"/>
        <c:minorUnit val="1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50355182575512458"/>
          <c:y val="0.92081590851569173"/>
          <c:w val="0.49239407669663071"/>
          <c:h val="7.3721800463249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07141015725701"/>
          <c:y val="0.26365452645119797"/>
          <c:w val="0.82597995617427167"/>
          <c:h val="0.652067338025745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Folha1!$K$7</c:f>
              <c:strCache>
                <c:ptCount val="1"/>
                <c:pt idx="0">
                  <c:v>OLI 3rd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(Folha1!$J$9,Folha1!$J$11,Folha1!$J$13,Folha1!$J$15,Folha1!$J$17,Folha1!$J$19,Folha1!$J$21,Folha1!$J$23,Folha1!$J$25,Folha1!$J$27,Folha1!$J$29,Folha1!$J$31,Folha1!$J$33,Folha1!$J$35,Folha1!$J$37)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Folha1!$K$8:$K$37</c15:sqref>
                  </c15:fullRef>
                </c:ext>
              </c:extLst>
              <c:f>(Folha1!$K$9,Folha1!$K$11,Folha1!$K$13,Folha1!$K$15,Folha1!$K$17,Folha1!$K$19,Folha1!$K$21,Folha1!$K$23,Folha1!$K$25,Folha1!$K$27,Folha1!$K$29,Folha1!$K$31,Folha1!$K$33,Folha1!$K$35,Folha1!$K$37)</c:f>
              <c:numCache>
                <c:formatCode>General</c:formatCode>
                <c:ptCount val="15"/>
                <c:pt idx="0">
                  <c:v>-8.2456516642889817</c:v>
                </c:pt>
                <c:pt idx="1">
                  <c:v>-7.8477116556169433</c:v>
                </c:pt>
                <c:pt idx="2">
                  <c:v>-5.1804560644581317</c:v>
                </c:pt>
                <c:pt idx="3">
                  <c:v>-10.209714835966759</c:v>
                </c:pt>
                <c:pt idx="4">
                  <c:v>-7.8601209135987631</c:v>
                </c:pt>
                <c:pt idx="5">
                  <c:v>-7.9430951486635273</c:v>
                </c:pt>
                <c:pt idx="6">
                  <c:v>-7.8507808873446203</c:v>
                </c:pt>
                <c:pt idx="7">
                  <c:v>-7.8538719643217618</c:v>
                </c:pt>
                <c:pt idx="8">
                  <c:v>-8.5512936800949202</c:v>
                </c:pt>
                <c:pt idx="9">
                  <c:v>-9.669586226650809</c:v>
                </c:pt>
                <c:pt idx="10">
                  <c:v>-7.4559319556497243</c:v>
                </c:pt>
                <c:pt idx="11">
                  <c:v>-7.8538719643217618</c:v>
                </c:pt>
                <c:pt idx="12">
                  <c:v>-8.2881927709588084</c:v>
                </c:pt>
                <c:pt idx="13">
                  <c:v>-7.8507808873446203</c:v>
                </c:pt>
                <c:pt idx="14">
                  <c:v>-6.3171772657131458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2-4DDD-AD42-4568655A3EA5}"/>
            </c:ext>
          </c:extLst>
        </c:ser>
        <c:ser>
          <c:idx val="0"/>
          <c:order val="1"/>
          <c:tx>
            <c:strRef>
              <c:f>Folha1!$L$7</c:f>
              <c:strCache>
                <c:ptCount val="1"/>
                <c:pt idx="0">
                  <c:v>PID-F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(Folha1!$J$9,Folha1!$J$11,Folha1!$J$13,Folha1!$J$15,Folha1!$J$17,Folha1!$J$19,Folha1!$J$21,Folha1!$J$23,Folha1!$J$25,Folha1!$J$27,Folha1!$J$29,Folha1!$J$31,Folha1!$J$33,Folha1!$J$35,Folha1!$J$37)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Folha1!$L$8:$L$37</c15:sqref>
                  </c15:fullRef>
                </c:ext>
              </c:extLst>
              <c:f>(Folha1!$L$9,Folha1!$L$11,Folha1!$L$13,Folha1!$L$15,Folha1!$L$17,Folha1!$L$19,Folha1!$L$21,Folha1!$L$23,Folha1!$L$25,Folha1!$L$27,Folha1!$L$29,Folha1!$L$31,Folha1!$L$33,Folha1!$L$35,Folha1!$L$37)</c:f>
              <c:numCache>
                <c:formatCode>General</c:formatCode>
                <c:ptCount val="15"/>
                <c:pt idx="0">
                  <c:v>-9.2218487496163561</c:v>
                </c:pt>
                <c:pt idx="1">
                  <c:v>-9.4596705252091269</c:v>
                </c:pt>
                <c:pt idx="2">
                  <c:v>-8.7033348097384682</c:v>
                </c:pt>
                <c:pt idx="3">
                  <c:v>-9.0404816230270022</c:v>
                </c:pt>
                <c:pt idx="4">
                  <c:v>-8.1911141326401875</c:v>
                </c:pt>
                <c:pt idx="5">
                  <c:v>-8.314258261397736</c:v>
                </c:pt>
                <c:pt idx="6">
                  <c:v>-8.2494916051486538</c:v>
                </c:pt>
                <c:pt idx="7">
                  <c:v>-8.4012094932368857</c:v>
                </c:pt>
                <c:pt idx="8">
                  <c:v>-9.4179366370882907</c:v>
                </c:pt>
                <c:pt idx="9">
                  <c:v>-8.1444808443322003</c:v>
                </c:pt>
                <c:pt idx="10">
                  <c:v>-8.7328282715969863</c:v>
                </c:pt>
                <c:pt idx="11">
                  <c:v>-8.5686362358410122</c:v>
                </c:pt>
                <c:pt idx="12">
                  <c:v>-8.8601209135987631</c:v>
                </c:pt>
                <c:pt idx="13">
                  <c:v>-8.0634862575211059</c:v>
                </c:pt>
                <c:pt idx="14">
                  <c:v>-8.4754184404544404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2-4DDD-AD42-4568655A3EA5}"/>
            </c:ext>
          </c:extLst>
        </c:ser>
        <c:ser>
          <c:idx val="1"/>
          <c:order val="2"/>
          <c:tx>
            <c:strRef>
              <c:f>Folha1!$M$7</c:f>
              <c:strCache>
                <c:ptCount val="1"/>
                <c:pt idx="0">
                  <c:v>LQI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(Folha1!$J$9,Folha1!$J$11,Folha1!$J$13,Folha1!$J$15,Folha1!$J$17,Folha1!$J$19,Folha1!$J$21,Folha1!$J$23,Folha1!$J$25,Folha1!$J$27,Folha1!$J$29,Folha1!$J$31,Folha1!$J$33,Folha1!$J$35,Folha1!$J$37)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Folha1!$M$8:$M$37</c15:sqref>
                  </c15:fullRef>
                </c:ext>
              </c:extLst>
              <c:f>(Folha1!$M$9,Folha1!$M$11,Folha1!$M$13,Folha1!$M$15,Folha1!$M$17,Folha1!$M$19,Folha1!$M$21,Folha1!$M$23,Folha1!$M$25,Folha1!$M$27,Folha1!$M$29,Folha1!$M$31,Folha1!$M$33,Folha1!$M$35,Folha1!$M$37)</c:f>
              <c:numCache>
                <c:formatCode>General</c:formatCode>
                <c:ptCount val="15"/>
                <c:pt idx="0">
                  <c:v>-11.798602875679549</c:v>
                </c:pt>
                <c:pt idx="1">
                  <c:v>-11.628932137728263</c:v>
                </c:pt>
                <c:pt idx="2">
                  <c:v>-11.847711655616944</c:v>
                </c:pt>
                <c:pt idx="3">
                  <c:v>-12.18309616062434</c:v>
                </c:pt>
                <c:pt idx="4">
                  <c:v>-12.073657553374344</c:v>
                </c:pt>
                <c:pt idx="5">
                  <c:v>-12.266000713461613</c:v>
                </c:pt>
                <c:pt idx="6">
                  <c:v>-11.779891911959945</c:v>
                </c:pt>
                <c:pt idx="7">
                  <c:v>-11.655607726314889</c:v>
                </c:pt>
                <c:pt idx="8">
                  <c:v>-12.617982957425131</c:v>
                </c:pt>
                <c:pt idx="9">
                  <c:v>-10.669586226650809</c:v>
                </c:pt>
                <c:pt idx="10">
                  <c:v>-11.906578314837764</c:v>
                </c:pt>
                <c:pt idx="11">
                  <c:v>-11.030584087646019</c:v>
                </c:pt>
                <c:pt idx="12">
                  <c:v>-11.701146923590294</c:v>
                </c:pt>
                <c:pt idx="13">
                  <c:v>-10.759450751717401</c:v>
                </c:pt>
                <c:pt idx="14">
                  <c:v>-11.347732932742197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22-4DDD-AD42-4568655A3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024880"/>
        <c:axId val="1230026800"/>
      </c:barChart>
      <c:catAx>
        <c:axId val="123002488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orientation val="minMax"/>
          <c:max val="-5"/>
          <c:min val="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PT"/>
                  <a:t>Displacement Response Spectrum MSE (m)</a:t>
                </a:r>
              </a:p>
            </c:rich>
          </c:tx>
          <c:layout>
            <c:manualLayout>
              <c:xMode val="edge"/>
              <c:yMode val="edge"/>
              <c:x val="1.038863109048724E-2"/>
              <c:y val="0.1968053545586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PT"/>
            </a:p>
          </c:txPr>
        </c:title>
        <c:numFmt formatCode="[=-5]&quot;10⁻⁵&quot;;[=-13]&quot;10⁻¹³&quot;" sourceLinked="0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1230024880"/>
        <c:crosses val="autoZero"/>
        <c:crossBetween val="between"/>
        <c:majorUnit val="8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676334106728537"/>
          <c:y val="0.93825655250040196"/>
          <c:w val="0.48686646042794535"/>
          <c:h val="5.7760492040520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34249432788887"/>
          <c:y val="3.529788079476457E-2"/>
          <c:w val="0.81091179267250157"/>
          <c:h val="0.6457875809406699"/>
        </c:manualLayout>
      </c:layout>
      <c:lineChart>
        <c:grouping val="standard"/>
        <c:varyColors val="0"/>
        <c:ser>
          <c:idx val="2"/>
          <c:order val="0"/>
          <c:tx>
            <c:strRef>
              <c:f>Folha1!$K$7</c:f>
              <c:strCache>
                <c:ptCount val="1"/>
                <c:pt idx="0">
                  <c:v>OLI 3rd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(Folha1!$J$8,Folha1!$J$10,Folha1!$J$12,Folha1!$J$14,Folha1!$J$16,Folha1!$J$18,Folha1!$J$20,Folha1!$J$22,Folha1!$J$24,Folha1!$J$26,Folha1!$J$28,Folha1!$J$30,Folha1!$J$32,Folha1!$J$34,Folha1!$J$36)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Folha1!$K$8:$K$37</c15:sqref>
                  </c15:fullRef>
                </c:ext>
              </c:extLst>
              <c:f>(Folha1!$K$8,Folha1!$K$10,Folha1!$K$12,Folha1!$K$14,Folha1!$K$16,Folha1!$K$18,Folha1!$K$20,Folha1!$K$22,Folha1!$K$24,Folha1!$K$26,Folha1!$K$28,Folha1!$K$30,Folha1!$K$32,Folha1!$K$34,Folha1!$K$36)</c:f>
              <c:numCache>
                <c:formatCode>General</c:formatCode>
                <c:ptCount val="15"/>
                <c:pt idx="0">
                  <c:v>-4.3089185078770313</c:v>
                </c:pt>
                <c:pt idx="1">
                  <c:v>-5.017728766960432</c:v>
                </c:pt>
                <c:pt idx="2">
                  <c:v>-5.4248121550723392</c:v>
                </c:pt>
                <c:pt idx="3">
                  <c:v>-5.1487416512809245</c:v>
                </c:pt>
                <c:pt idx="4">
                  <c:v>-4.7212463990471711</c:v>
                </c:pt>
                <c:pt idx="5">
                  <c:v>-4.7670038896078459</c:v>
                </c:pt>
                <c:pt idx="6">
                  <c:v>-4.3957739469155301</c:v>
                </c:pt>
                <c:pt idx="7">
                  <c:v>-4.8416375079047507</c:v>
                </c:pt>
                <c:pt idx="8">
                  <c:v>-4.6003262785189616</c:v>
                </c:pt>
                <c:pt idx="9">
                  <c:v>-4.4089353929735005</c:v>
                </c:pt>
                <c:pt idx="10">
                  <c:v>-4.1870866433571443</c:v>
                </c:pt>
                <c:pt idx="11">
                  <c:v>-4.3001622741327541</c:v>
                </c:pt>
                <c:pt idx="12">
                  <c:v>-5.0083309926200519</c:v>
                </c:pt>
                <c:pt idx="13">
                  <c:v>-2.7772835288524167</c:v>
                </c:pt>
                <c:pt idx="14">
                  <c:v>-3.840933642603702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3-4EF5-9EFF-99F2CBA012A4}"/>
            </c:ext>
          </c:extLst>
        </c:ser>
        <c:ser>
          <c:idx val="0"/>
          <c:order val="1"/>
          <c:tx>
            <c:strRef>
              <c:f>Folha1!$L$7</c:f>
              <c:strCache>
                <c:ptCount val="1"/>
                <c:pt idx="0">
                  <c:v>PID-F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(Folha1!$J$8,Folha1!$J$10,Folha1!$J$12,Folha1!$J$14,Folha1!$J$16,Folha1!$J$18,Folha1!$J$20,Folha1!$J$22,Folha1!$J$24,Folha1!$J$26,Folha1!$J$28,Folha1!$J$30,Folha1!$J$32,Folha1!$J$34,Folha1!$J$36)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Folha1!$L$8:$L$37</c15:sqref>
                  </c15:fullRef>
                </c:ext>
              </c:extLst>
              <c:f>(Folha1!$L$8,Folha1!$L$10,Folha1!$L$12,Folha1!$L$14,Folha1!$L$16,Folha1!$L$18,Folha1!$L$20,Folha1!$L$22,Folha1!$L$24,Folha1!$L$26,Folha1!$L$28,Folha1!$L$30,Folha1!$L$32,Folha1!$L$34,Folha1!$L$36)</c:f>
              <c:numCache>
                <c:formatCode>General</c:formatCode>
                <c:ptCount val="15"/>
                <c:pt idx="0">
                  <c:v>-4.2502636844309389</c:v>
                </c:pt>
                <c:pt idx="1">
                  <c:v>-4.8794260687941504</c:v>
                </c:pt>
                <c:pt idx="2">
                  <c:v>-5.6989700043360187</c:v>
                </c:pt>
                <c:pt idx="3">
                  <c:v>-5.3861581781239307</c:v>
                </c:pt>
                <c:pt idx="4">
                  <c:v>-4.5086383061657269</c:v>
                </c:pt>
                <c:pt idx="5">
                  <c:v>-4.6798537138889458</c:v>
                </c:pt>
                <c:pt idx="6">
                  <c:v>-4.7033348097384691</c:v>
                </c:pt>
                <c:pt idx="7">
                  <c:v>-4.8728952016351927</c:v>
                </c:pt>
                <c:pt idx="8">
                  <c:v>-5.1706962271689747</c:v>
                </c:pt>
                <c:pt idx="9">
                  <c:v>-4.7447274948966935</c:v>
                </c:pt>
                <c:pt idx="10">
                  <c:v>-4.2298847052128981</c:v>
                </c:pt>
                <c:pt idx="11">
                  <c:v>-4.7304870557820839</c:v>
                </c:pt>
                <c:pt idx="12">
                  <c:v>-5.3027706572402824</c:v>
                </c:pt>
                <c:pt idx="13">
                  <c:v>-3.5171264163912461</c:v>
                </c:pt>
                <c:pt idx="14">
                  <c:v>-4.3888535048526878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3-4EF5-9EFF-99F2CBA012A4}"/>
            </c:ext>
          </c:extLst>
        </c:ser>
        <c:ser>
          <c:idx val="1"/>
          <c:order val="2"/>
          <c:tx>
            <c:strRef>
              <c:f>Folha1!$M$7</c:f>
              <c:strCache>
                <c:ptCount val="1"/>
                <c:pt idx="0">
                  <c:v>LQI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Folha1!$J$8:$J$37</c15:sqref>
                  </c15:fullRef>
                </c:ext>
              </c:extLst>
              <c:f>(Folha1!$J$8,Folha1!$J$10,Folha1!$J$12,Folha1!$J$14,Folha1!$J$16,Folha1!$J$18,Folha1!$J$20,Folha1!$J$22,Folha1!$J$24,Folha1!$J$26,Folha1!$J$28,Folha1!$J$30,Folha1!$J$32,Folha1!$J$34,Folha1!$J$36)</c:f>
              <c:strCache>
                <c:ptCount val="15"/>
                <c:pt idx="0">
                  <c:v>El Centro (FN)</c:v>
                </c:pt>
                <c:pt idx="1">
                  <c:v>El Centro (FP)</c:v>
                </c:pt>
                <c:pt idx="2">
                  <c:v>Erzikan (NS)</c:v>
                </c:pt>
                <c:pt idx="3">
                  <c:v>Erzikan (EW)</c:v>
                </c:pt>
                <c:pt idx="4">
                  <c:v>Kobe (NS)</c:v>
                </c:pt>
                <c:pt idx="5">
                  <c:v>Kobe (EW)</c:v>
                </c:pt>
                <c:pt idx="6">
                  <c:v>L'Aquila</c:v>
                </c:pt>
                <c:pt idx="7">
                  <c:v>Newhall (FN)</c:v>
                </c:pt>
                <c:pt idx="8">
                  <c:v>Newhall (FP)</c:v>
                </c:pt>
                <c:pt idx="9">
                  <c:v>Rinaldi (FN)</c:v>
                </c:pt>
                <c:pt idx="10">
                  <c:v>Rinaldi (FP)</c:v>
                </c:pt>
                <c:pt idx="11">
                  <c:v>Sylmar (FN)</c:v>
                </c:pt>
                <c:pt idx="12">
                  <c:v>Sylmar (FP)</c:v>
                </c:pt>
                <c:pt idx="13">
                  <c:v>Tolmezzo</c:v>
                </c:pt>
                <c:pt idx="14">
                  <c:v>Average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Folha1!$M$8:$M$37</c15:sqref>
                  </c15:fullRef>
                </c:ext>
              </c:extLst>
              <c:f>(Folha1!$M$8,Folha1!$M$10,Folha1!$M$12,Folha1!$M$14,Folha1!$M$16,Folha1!$M$18,Folha1!$M$20,Folha1!$M$22,Folha1!$M$24,Folha1!$M$26,Folha1!$M$28,Folha1!$M$30,Folha1!$M$32,Folha1!$M$34,Folha1!$M$36)</c:f>
              <c:numCache>
                <c:formatCode>General</c:formatCode>
                <c:ptCount val="15"/>
                <c:pt idx="0">
                  <c:v>-4.9546770212133424</c:v>
                </c:pt>
                <c:pt idx="1">
                  <c:v>-5.519993057042849</c:v>
                </c:pt>
                <c:pt idx="2">
                  <c:v>-6.4168012260313771</c:v>
                </c:pt>
                <c:pt idx="3">
                  <c:v>-7.1530446749801762</c:v>
                </c:pt>
                <c:pt idx="4">
                  <c:v>-6.5114492834995561</c:v>
                </c:pt>
                <c:pt idx="5">
                  <c:v>-5.924453038607469</c:v>
                </c:pt>
                <c:pt idx="6">
                  <c:v>-6.3851027839668655</c:v>
                </c:pt>
                <c:pt idx="7">
                  <c:v>-6.0515870342213987</c:v>
                </c:pt>
                <c:pt idx="8">
                  <c:v>-5.79317412396815</c:v>
                </c:pt>
                <c:pt idx="9">
                  <c:v>-5.5718652059712115</c:v>
                </c:pt>
                <c:pt idx="10">
                  <c:v>-4.3645162531850881</c:v>
                </c:pt>
                <c:pt idx="11">
                  <c:v>-5.5100415205751654</c:v>
                </c:pt>
                <c:pt idx="12">
                  <c:v>-6.3665315444204138</c:v>
                </c:pt>
                <c:pt idx="13">
                  <c:v>-4.0584885673655968</c:v>
                </c:pt>
                <c:pt idx="14">
                  <c:v>-4.9536127119580806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63-4EF5-9EFF-99F2CBA0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4880"/>
        <c:axId val="1230026800"/>
      </c:lineChart>
      <c:catAx>
        <c:axId val="12300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1230026800"/>
        <c:crosses val="autoZero"/>
        <c:auto val="1"/>
        <c:lblAlgn val="ctr"/>
        <c:lblOffset val="100"/>
        <c:noMultiLvlLbl val="0"/>
      </c:catAx>
      <c:valAx>
        <c:axId val="1230026800"/>
        <c:scaling>
          <c:orientation val="minMax"/>
          <c:max val="-2.5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PT"/>
                  <a:t>Acceleration Response Spectrum MSE (m s</a:t>
                </a:r>
                <a:r>
                  <a:rPr lang="pt-PT" baseline="30000"/>
                  <a:t>-2</a:t>
                </a:r>
                <a:r>
                  <a:rPr lang="pt-PT"/>
                  <a:t>)</a:t>
                </a:r>
              </a:p>
            </c:rich>
          </c:tx>
          <c:layout>
            <c:manualLayout>
              <c:xMode val="edge"/>
              <c:yMode val="edge"/>
              <c:x val="1.2355920968811033E-2"/>
              <c:y val="0.184989711080670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PT"/>
            </a:p>
          </c:txPr>
        </c:title>
        <c:numFmt formatCode="[=-3]&quot;10⁻³&quot;;[=-8]&quot;10⁻⁸&quot;" sourceLinked="0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PT"/>
          </a:p>
        </c:txPr>
        <c:crossAx val="1230024880"/>
        <c:crosses val="autoZero"/>
        <c:crossBetween val="between"/>
        <c:majorUnit val="5"/>
        <c:minorUnit val="1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50355182575512458"/>
          <c:y val="0.92081590851569173"/>
          <c:w val="0.49644831430277098"/>
          <c:h val="7.428645875407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247649</xdr:colOff>
      <xdr:row>3</xdr:row>
      <xdr:rowOff>133350</xdr:rowOff>
    </xdr:from>
    <xdr:to>
      <xdr:col>27</xdr:col>
      <xdr:colOff>211666</xdr:colOff>
      <xdr:row>24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239448</xdr:colOff>
      <xdr:row>25</xdr:row>
      <xdr:rowOff>75407</xdr:rowOff>
    </xdr:from>
    <xdr:to>
      <xdr:col>27</xdr:col>
      <xdr:colOff>207698</xdr:colOff>
      <xdr:row>48</xdr:row>
      <xdr:rowOff>11906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48</xdr:row>
      <xdr:rowOff>0</xdr:rowOff>
    </xdr:from>
    <xdr:to>
      <xdr:col>13</xdr:col>
      <xdr:colOff>323941</xdr:colOff>
      <xdr:row>69</xdr:row>
      <xdr:rowOff>165636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218785</xdr:colOff>
      <xdr:row>44</xdr:row>
      <xdr:rowOff>32314</xdr:rowOff>
    </xdr:from>
    <xdr:to>
      <xdr:col>28</xdr:col>
      <xdr:colOff>182802</xdr:colOff>
      <xdr:row>61</xdr:row>
      <xdr:rowOff>41839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210584</xdr:colOff>
      <xdr:row>61</xdr:row>
      <xdr:rowOff>161984</xdr:rowOff>
    </xdr:from>
    <xdr:to>
      <xdr:col>28</xdr:col>
      <xdr:colOff>178834</xdr:colOff>
      <xdr:row>84</xdr:row>
      <xdr:rowOff>98484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275263</xdr:colOff>
      <xdr:row>44</xdr:row>
      <xdr:rowOff>18828</xdr:rowOff>
    </xdr:from>
    <xdr:to>
      <xdr:col>10</xdr:col>
      <xdr:colOff>1536912</xdr:colOff>
      <xdr:row>66</xdr:row>
      <xdr:rowOff>132417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600076</xdr:colOff>
      <xdr:row>44</xdr:row>
      <xdr:rowOff>86580</xdr:rowOff>
    </xdr:from>
    <xdr:to>
      <xdr:col>47</xdr:col>
      <xdr:colOff>182096</xdr:colOff>
      <xdr:row>54</xdr:row>
      <xdr:rowOff>28576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590748</xdr:colOff>
      <xdr:row>40</xdr:row>
      <xdr:rowOff>38100</xdr:rowOff>
    </xdr:from>
    <xdr:to>
      <xdr:col>35</xdr:col>
      <xdr:colOff>27493</xdr:colOff>
      <xdr:row>48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274593</xdr:colOff>
      <xdr:row>27</xdr:row>
      <xdr:rowOff>51487</xdr:rowOff>
    </xdr:from>
    <xdr:to>
      <xdr:col>46</xdr:col>
      <xdr:colOff>173182</xdr:colOff>
      <xdr:row>39</xdr:row>
      <xdr:rowOff>28864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569798</xdr:colOff>
      <xdr:row>9</xdr:row>
      <xdr:rowOff>2443</xdr:rowOff>
    </xdr:from>
    <xdr:to>
      <xdr:col>19</xdr:col>
      <xdr:colOff>599117</xdr:colOff>
      <xdr:row>22</xdr:row>
      <xdr:rowOff>45943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586505F-8790-4A31-B56E-704B66F9E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567632</xdr:colOff>
      <xdr:row>22</xdr:row>
      <xdr:rowOff>162453</xdr:rowOff>
    </xdr:from>
    <xdr:to>
      <xdr:col>19</xdr:col>
      <xdr:colOff>596951</xdr:colOff>
      <xdr:row>36</xdr:row>
      <xdr:rowOff>15453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D46A6D0-4CA1-48D9-A90B-51FFF565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39688</xdr:colOff>
      <xdr:row>8</xdr:row>
      <xdr:rowOff>145521</xdr:rowOff>
    </xdr:from>
    <xdr:to>
      <xdr:col>26</xdr:col>
      <xdr:colOff>69006</xdr:colOff>
      <xdr:row>22</xdr:row>
      <xdr:rowOff>3813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270BDE-1B55-432C-B279-3EC3FD5AC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96D6-ED0D-45B4-865A-35F865CA620B}">
  <dimension ref="D7:J46"/>
  <sheetViews>
    <sheetView topLeftCell="A6" zoomScale="80" zoomScaleNormal="80" workbookViewId="0">
      <selection activeCell="R59" sqref="R59"/>
    </sheetView>
  </sheetViews>
  <sheetFormatPr defaultRowHeight="15" x14ac:dyDescent="0.25"/>
  <cols>
    <col min="4" max="9" width="9.140625" style="1"/>
    <col min="10" max="10" width="24.140625" customWidth="1"/>
  </cols>
  <sheetData>
    <row r="7" spans="4:9" x14ac:dyDescent="0.25">
      <c r="G7" s="1" t="s">
        <v>12</v>
      </c>
      <c r="H7" s="1" t="s">
        <v>13</v>
      </c>
      <c r="I7" s="1" t="s">
        <v>15</v>
      </c>
    </row>
    <row r="8" spans="4:9" x14ac:dyDescent="0.25">
      <c r="D8" s="26" t="s">
        <v>5</v>
      </c>
      <c r="E8" s="26" t="s">
        <v>0</v>
      </c>
      <c r="F8" s="1" t="s">
        <v>2</v>
      </c>
      <c r="G8" s="2">
        <v>5.6199999999999997E-5</v>
      </c>
      <c r="H8" s="2">
        <v>1.11E-5</v>
      </c>
      <c r="I8" s="2">
        <v>4.9100000000000001E-5</v>
      </c>
    </row>
    <row r="9" spans="4:9" x14ac:dyDescent="0.25">
      <c r="D9" s="26"/>
      <c r="E9" s="26"/>
      <c r="F9" s="1" t="s">
        <v>3</v>
      </c>
      <c r="G9" s="2">
        <v>6E-10</v>
      </c>
      <c r="H9" s="2">
        <v>1.5900000000000001E-12</v>
      </c>
      <c r="I9" s="2">
        <v>5.6800000000000002E-9</v>
      </c>
    </row>
    <row r="10" spans="4:9" x14ac:dyDescent="0.25">
      <c r="D10" s="26"/>
      <c r="E10" s="26" t="s">
        <v>1</v>
      </c>
      <c r="F10" s="1" t="s">
        <v>2</v>
      </c>
      <c r="G10" s="2">
        <v>1.3200000000000001E-5</v>
      </c>
      <c r="H10" s="2">
        <v>3.0199999999999999E-6</v>
      </c>
      <c r="I10" s="2">
        <v>9.5999999999999996E-6</v>
      </c>
    </row>
    <row r="11" spans="4:9" x14ac:dyDescent="0.25">
      <c r="D11" s="26"/>
      <c r="E11" s="26"/>
      <c r="F11" s="1" t="s">
        <v>3</v>
      </c>
      <c r="G11" s="2">
        <v>3.4699999999999999E-10</v>
      </c>
      <c r="H11" s="2">
        <v>2.3499999999999999E-12</v>
      </c>
      <c r="I11" s="2">
        <v>1.42E-8</v>
      </c>
    </row>
    <row r="12" spans="4:9" x14ac:dyDescent="0.25">
      <c r="D12" s="26" t="s">
        <v>4</v>
      </c>
      <c r="E12" s="26" t="s">
        <v>0</v>
      </c>
      <c r="F12" s="1" t="s">
        <v>2</v>
      </c>
      <c r="G12" s="2">
        <v>1.9999999999999999E-6</v>
      </c>
      <c r="H12" s="2">
        <v>3.8299999999999998E-7</v>
      </c>
      <c r="I12" s="2">
        <v>3.76E-6</v>
      </c>
    </row>
    <row r="13" spans="4:9" x14ac:dyDescent="0.25">
      <c r="D13" s="26"/>
      <c r="E13" s="26"/>
      <c r="F13" s="1" t="s">
        <v>3</v>
      </c>
      <c r="G13" s="2">
        <v>1.9800000000000002E-9</v>
      </c>
      <c r="H13" s="2">
        <v>1.42E-12</v>
      </c>
      <c r="I13" s="2">
        <v>6.6000000000000003E-6</v>
      </c>
    </row>
    <row r="14" spans="4:9" x14ac:dyDescent="0.25">
      <c r="D14" s="26"/>
      <c r="E14" s="26" t="s">
        <v>1</v>
      </c>
      <c r="F14" s="1" t="s">
        <v>2</v>
      </c>
      <c r="G14" s="2">
        <v>4.1099999999999996E-6</v>
      </c>
      <c r="H14" s="2">
        <v>7.0300000000000001E-8</v>
      </c>
      <c r="I14" s="2">
        <v>7.0999999999999998E-6</v>
      </c>
    </row>
    <row r="15" spans="4:9" x14ac:dyDescent="0.25">
      <c r="D15" s="26"/>
      <c r="E15" s="26"/>
      <c r="F15" s="1" t="s">
        <v>3</v>
      </c>
      <c r="G15" s="2">
        <v>9.1099999999999996E-10</v>
      </c>
      <c r="H15" s="2">
        <v>6.5600000000000003E-13</v>
      </c>
      <c r="I15" s="2">
        <v>6.1700000000000004E-11</v>
      </c>
    </row>
    <row r="16" spans="4:9" x14ac:dyDescent="0.25">
      <c r="D16" s="26" t="s">
        <v>22</v>
      </c>
      <c r="E16" s="26" t="s">
        <v>0</v>
      </c>
      <c r="F16" s="1" t="s">
        <v>2</v>
      </c>
      <c r="G16" s="2">
        <v>4.28E-3</v>
      </c>
      <c r="H16" s="2">
        <v>2.2100000000000002E-3</v>
      </c>
      <c r="I16" s="2">
        <v>0.17499999999999999</v>
      </c>
    </row>
    <row r="17" spans="4:9" x14ac:dyDescent="0.25">
      <c r="D17" s="26"/>
      <c r="E17" s="26"/>
      <c r="F17" s="1" t="s">
        <v>3</v>
      </c>
      <c r="G17" s="2">
        <v>1.71E-10</v>
      </c>
      <c r="H17" s="2">
        <v>1.25E-14</v>
      </c>
      <c r="I17" s="2">
        <v>2.5299999999999998E-5</v>
      </c>
    </row>
    <row r="18" spans="4:9" x14ac:dyDescent="0.25">
      <c r="D18" s="26"/>
      <c r="E18" s="26" t="s">
        <v>1</v>
      </c>
      <c r="F18" s="1" t="s">
        <v>2</v>
      </c>
      <c r="G18" s="2">
        <v>8.2000000000000003E-2</v>
      </c>
      <c r="H18" s="2">
        <v>4.5100000000000001E-2</v>
      </c>
      <c r="I18" s="2">
        <v>0.189</v>
      </c>
    </row>
    <row r="19" spans="4:9" x14ac:dyDescent="0.25">
      <c r="D19" s="26"/>
      <c r="E19" s="26"/>
      <c r="F19" s="1" t="s">
        <v>3</v>
      </c>
      <c r="G19" s="2">
        <v>3.8699999999999999E-11</v>
      </c>
      <c r="H19" s="2">
        <v>3.6199999999999997E-15</v>
      </c>
      <c r="I19" s="2">
        <v>1.34E-5</v>
      </c>
    </row>
    <row r="20" spans="4:9" x14ac:dyDescent="0.25">
      <c r="D20" s="26" t="s">
        <v>6</v>
      </c>
      <c r="E20" s="26" t="s">
        <v>0</v>
      </c>
      <c r="F20" s="1" t="s">
        <v>2</v>
      </c>
      <c r="G20" s="2">
        <v>3.1000000000000001E-5</v>
      </c>
      <c r="H20" s="2">
        <v>3.0800000000000001E-7</v>
      </c>
      <c r="I20" s="2">
        <v>1.9000000000000001E-5</v>
      </c>
    </row>
    <row r="21" spans="4:9" x14ac:dyDescent="0.25">
      <c r="D21" s="26"/>
      <c r="E21" s="26"/>
      <c r="F21" s="1" t="s">
        <v>3</v>
      </c>
      <c r="G21" s="2">
        <v>6.4400000000000001E-9</v>
      </c>
      <c r="H21" s="2">
        <v>8.4400000000000004E-13</v>
      </c>
      <c r="I21" s="2">
        <v>1.3799999999999999E-8</v>
      </c>
    </row>
    <row r="22" spans="4:9" x14ac:dyDescent="0.25">
      <c r="D22" s="26"/>
      <c r="E22" s="26" t="s">
        <v>1</v>
      </c>
      <c r="F22" s="1" t="s">
        <v>2</v>
      </c>
      <c r="G22" s="2">
        <v>2.09E-5</v>
      </c>
      <c r="H22" s="2">
        <v>1.19E-6</v>
      </c>
      <c r="I22" s="2">
        <v>1.7099999999999999E-5</v>
      </c>
    </row>
    <row r="23" spans="4:9" x14ac:dyDescent="0.25">
      <c r="D23" s="26"/>
      <c r="E23" s="26"/>
      <c r="F23" s="1" t="s">
        <v>3</v>
      </c>
      <c r="G23" s="2">
        <v>4.8499999999999996E-9</v>
      </c>
      <c r="H23" s="2">
        <v>5.4200000000000001E-13</v>
      </c>
      <c r="I23" s="2">
        <v>1.14E-8</v>
      </c>
    </row>
    <row r="24" spans="4:9" x14ac:dyDescent="0.25">
      <c r="D24" s="26" t="s">
        <v>7</v>
      </c>
      <c r="E24" s="26" t="s">
        <v>0</v>
      </c>
      <c r="F24" s="1" t="s">
        <v>2</v>
      </c>
      <c r="G24" s="2">
        <v>1.98E-5</v>
      </c>
      <c r="H24" s="2">
        <v>4.1199999999999998E-7</v>
      </c>
      <c r="I24" s="2">
        <v>4.0200000000000001E-5</v>
      </c>
    </row>
    <row r="25" spans="4:9" x14ac:dyDescent="0.25">
      <c r="D25" s="26"/>
      <c r="E25" s="26"/>
      <c r="F25" s="1" t="s">
        <v>3</v>
      </c>
      <c r="G25" s="2">
        <v>5.6299999999999998E-9</v>
      </c>
      <c r="H25" s="2">
        <v>1.66E-12</v>
      </c>
      <c r="I25" s="2">
        <v>1.4100000000000001E-8</v>
      </c>
    </row>
    <row r="26" spans="4:9" x14ac:dyDescent="0.25">
      <c r="D26" s="26" t="s">
        <v>8</v>
      </c>
      <c r="E26" s="26" t="s">
        <v>0</v>
      </c>
      <c r="F26" s="1" t="s">
        <v>2</v>
      </c>
      <c r="G26" s="2">
        <v>1.34E-5</v>
      </c>
      <c r="H26" s="2">
        <v>8.8800000000000001E-7</v>
      </c>
      <c r="I26" s="2">
        <v>1.4399999999999999E-5</v>
      </c>
    </row>
    <row r="27" spans="4:9" x14ac:dyDescent="0.25">
      <c r="D27" s="26"/>
      <c r="E27" s="26"/>
      <c r="F27" s="1" t="s">
        <v>3</v>
      </c>
      <c r="G27" s="2">
        <v>3.9700000000000001E-9</v>
      </c>
      <c r="H27" s="2">
        <v>2.2100000000000001E-12</v>
      </c>
      <c r="I27" s="2">
        <v>1.4E-8</v>
      </c>
    </row>
    <row r="28" spans="4:9" x14ac:dyDescent="0.25">
      <c r="D28" s="26"/>
      <c r="E28" s="26" t="s">
        <v>1</v>
      </c>
      <c r="F28" s="1" t="s">
        <v>2</v>
      </c>
      <c r="G28" s="2">
        <v>6.7499999999999997E-6</v>
      </c>
      <c r="H28" s="2">
        <v>1.61E-6</v>
      </c>
      <c r="I28" s="2">
        <v>2.51E-5</v>
      </c>
    </row>
    <row r="29" spans="4:9" x14ac:dyDescent="0.25">
      <c r="D29" s="26"/>
      <c r="E29" s="26"/>
      <c r="F29" s="1" t="s">
        <v>3</v>
      </c>
      <c r="G29" s="2">
        <v>3.8200000000000003E-10</v>
      </c>
      <c r="H29" s="2">
        <v>2.4099999999999998E-13</v>
      </c>
      <c r="I29" s="2">
        <v>2.81E-9</v>
      </c>
    </row>
    <row r="30" spans="4:9" x14ac:dyDescent="0.25">
      <c r="D30" s="26" t="s">
        <v>9</v>
      </c>
      <c r="E30" s="26" t="s">
        <v>0</v>
      </c>
      <c r="F30" s="1" t="s">
        <v>2</v>
      </c>
      <c r="G30" s="2">
        <v>1.8E-5</v>
      </c>
      <c r="H30" s="2">
        <v>1.91E-5</v>
      </c>
      <c r="I30" s="2">
        <v>3.8999999999999999E-5</v>
      </c>
    </row>
    <row r="31" spans="4:9" x14ac:dyDescent="0.25">
      <c r="D31" s="26"/>
      <c r="E31" s="26"/>
      <c r="F31" s="1" t="s">
        <v>3</v>
      </c>
      <c r="G31" s="2">
        <v>7.1699999999999998E-9</v>
      </c>
      <c r="H31" s="2">
        <v>4.7200000000000001E-12</v>
      </c>
      <c r="I31" s="2">
        <v>2.1400000000000001E-10</v>
      </c>
    </row>
    <row r="32" spans="4:9" x14ac:dyDescent="0.25">
      <c r="D32" s="26"/>
      <c r="E32" s="26" t="s">
        <v>1</v>
      </c>
      <c r="F32" s="1" t="s">
        <v>2</v>
      </c>
      <c r="G32" s="2">
        <v>5.8900000000000002E-5</v>
      </c>
      <c r="H32" s="2">
        <v>4.32E-5</v>
      </c>
      <c r="I32" s="2">
        <v>6.4999999999999994E-5</v>
      </c>
    </row>
    <row r="33" spans="4:10" x14ac:dyDescent="0.25">
      <c r="D33" s="26"/>
      <c r="E33" s="26"/>
      <c r="F33" s="1" t="s">
        <v>3</v>
      </c>
      <c r="G33" s="2">
        <v>1.85E-9</v>
      </c>
      <c r="H33" s="2">
        <v>1.24E-12</v>
      </c>
      <c r="I33" s="2">
        <v>3.5000000000000002E-8</v>
      </c>
    </row>
    <row r="34" spans="4:10" x14ac:dyDescent="0.25">
      <c r="D34" s="26" t="s">
        <v>10</v>
      </c>
      <c r="E34" s="26" t="s">
        <v>0</v>
      </c>
      <c r="F34" s="1" t="s">
        <v>2</v>
      </c>
      <c r="G34" s="2">
        <v>1.8600000000000001E-5</v>
      </c>
      <c r="H34" s="2">
        <v>3.0900000000000001E-6</v>
      </c>
      <c r="I34" s="2">
        <v>5.0099999999999998E-5</v>
      </c>
    </row>
    <row r="35" spans="4:10" x14ac:dyDescent="0.25">
      <c r="D35" s="26"/>
      <c r="E35" s="26"/>
      <c r="F35" s="1" t="s">
        <v>3</v>
      </c>
      <c r="G35" s="2">
        <v>2.7000000000000002E-9</v>
      </c>
      <c r="H35" s="2">
        <v>9.3199999999999999E-12</v>
      </c>
      <c r="I35" s="2">
        <v>1.4E-8</v>
      </c>
    </row>
    <row r="36" spans="4:10" x14ac:dyDescent="0.25">
      <c r="D36" s="26"/>
      <c r="E36" s="26" t="s">
        <v>1</v>
      </c>
      <c r="F36" s="1" t="s">
        <v>2</v>
      </c>
      <c r="G36" s="2">
        <v>4.9799999999999998E-6</v>
      </c>
      <c r="H36" s="2">
        <v>4.3000000000000001E-7</v>
      </c>
      <c r="I36" s="2">
        <v>9.8099999999999992E-6</v>
      </c>
    </row>
    <row r="37" spans="4:10" x14ac:dyDescent="0.25">
      <c r="D37" s="26"/>
      <c r="E37" s="26"/>
      <c r="F37" s="1" t="s">
        <v>3</v>
      </c>
      <c r="G37" s="2">
        <v>1.38E-9</v>
      </c>
      <c r="H37" s="2">
        <v>1.9899999999999998E-12</v>
      </c>
      <c r="I37" s="2">
        <v>5.1499999999999998E-9</v>
      </c>
    </row>
    <row r="38" spans="4:10" x14ac:dyDescent="0.25">
      <c r="D38" s="26" t="s">
        <v>11</v>
      </c>
      <c r="E38" s="26" t="s">
        <v>0</v>
      </c>
      <c r="F38" s="1" t="s">
        <v>2</v>
      </c>
      <c r="G38" s="2">
        <v>3.0400000000000002E-4</v>
      </c>
      <c r="H38" s="2">
        <v>8.7399999999999997E-5</v>
      </c>
      <c r="I38" s="2">
        <v>1.67E-3</v>
      </c>
    </row>
    <row r="39" spans="4:10" x14ac:dyDescent="0.25">
      <c r="D39" s="26"/>
      <c r="E39" s="26"/>
      <c r="F39" s="1" t="s">
        <v>3</v>
      </c>
      <c r="G39" s="2">
        <v>8.6399999999999999E-9</v>
      </c>
      <c r="H39" s="2">
        <v>1.7399999999999999E-11</v>
      </c>
      <c r="I39" s="2">
        <v>1.4100000000000001E-8</v>
      </c>
    </row>
    <row r="40" spans="4:10" x14ac:dyDescent="0.25">
      <c r="G40" s="3">
        <f>AVERAGE(G8:G39)</f>
        <v>2.7141214706156249E-3</v>
      </c>
      <c r="H40" s="3">
        <f>AVERAGE(H8:H39)</f>
        <v>1.4838187920687225E-3</v>
      </c>
      <c r="I40" s="3">
        <f>AVERAGE(I8:I39)</f>
        <v>1.1439522328615623E-2</v>
      </c>
      <c r="J40" s="4" t="s">
        <v>16</v>
      </c>
    </row>
    <row r="41" spans="4:10" x14ac:dyDescent="0.25">
      <c r="G41" s="5">
        <f>MEDIAN(G8:G39)</f>
        <v>1.00432E-6</v>
      </c>
      <c r="H41" s="5">
        <f>MEDIAN(H8:H39)</f>
        <v>3.5158700000000001E-8</v>
      </c>
      <c r="I41" s="5">
        <f>MEDIAN(I8:I39)</f>
        <v>8.3499999999999997E-6</v>
      </c>
      <c r="J41" s="6" t="s">
        <v>17</v>
      </c>
    </row>
    <row r="42" spans="4:10" x14ac:dyDescent="0.25">
      <c r="F42" s="7"/>
      <c r="G42" s="8">
        <f>AVERAGE(G8,G10,G12,G14,G16,G18,G20,G22,G24,G26,G28,G30,G32,G34,G36,G38)</f>
        <v>5.42824E-3</v>
      </c>
      <c r="H42" s="8">
        <f>AVERAGE(H8,H10,H12,H14,H16,H18,H20,H22,H24,H26,H28,H30,H32,H34,H36,H38)</f>
        <v>2.9676375812499995E-3</v>
      </c>
      <c r="I42" s="8">
        <f>AVERAGE(I8,I10,I12,I14,I16,I18,I20,I22,I24,I26,I28,I30,I32,I34,I36,I38)</f>
        <v>2.2876204375E-2</v>
      </c>
      <c r="J42" s="9" t="s">
        <v>18</v>
      </c>
    </row>
    <row r="43" spans="4:10" x14ac:dyDescent="0.25">
      <c r="F43" s="7"/>
      <c r="G43" s="8">
        <f>MEDIAN(G8,G10,G12,G14,G16,G18,G20,G22,G24,G26,G28,G30,G32,G34,G36,G38)</f>
        <v>1.9199999999999999E-5</v>
      </c>
      <c r="H43" s="8">
        <f>MEDIAN(H8,H10,H12,H14,H16,H18,H20,H22,H24,H26,H28,H30,H32,H34,H36,H38)</f>
        <v>2.3149999999999999E-6</v>
      </c>
      <c r="I43" s="8">
        <f>MEDIAN(I8,I10,I12,I14,I16,I18,I20,I22,I24,I26,I28,I30,I32,I34,I36,I38)</f>
        <v>3.205E-5</v>
      </c>
      <c r="J43" s="6" t="s">
        <v>19</v>
      </c>
    </row>
    <row r="44" spans="4:10" x14ac:dyDescent="0.25">
      <c r="G44" s="10">
        <f>AVERAGE(G9,G11,G13,G15,G17,G19,G21,G23,G25,G27,G29,G31,G33,G35,G37,G39)</f>
        <v>2.9412312500000006E-9</v>
      </c>
      <c r="H44" s="10">
        <f>AVERAGE(H9,H11,H13,H15,H17,H19,H21,H23,H25,H27,H29,H31,H33,H35,H37,H39)</f>
        <v>2.8874450000000001E-12</v>
      </c>
      <c r="I44" s="10">
        <f>AVERAGE(I9,I11,I13,I15,I17,I19,I21,I23,I25,I27,I29,I31,I33,I35,I37,I39)</f>
        <v>2.8402822312499994E-6</v>
      </c>
      <c r="J44" s="11" t="s">
        <v>20</v>
      </c>
    </row>
    <row r="45" spans="4:10" x14ac:dyDescent="0.25">
      <c r="G45" s="8">
        <f>MEDIAN(G9,G11,G13,G15,G17,G19,G21,G23,G25,G27,G29,G31,G33,G35,G37,G39)</f>
        <v>1.9150000000000001E-9</v>
      </c>
      <c r="H45" s="8">
        <f>MEDIAN(H9,H11,H13,H15,H17,H19,H21,H23,H25,H27,H29,H31,H33,H35,H37,H39)</f>
        <v>1.5050000000000002E-12</v>
      </c>
      <c r="I45" s="8">
        <f>MEDIAN(I9,I11,I13,I15,I17,I19,I21,I23,I25,I27,I29,I31,I33,I35,I37,I39)</f>
        <v>1.4E-8</v>
      </c>
      <c r="J45" s="11" t="s">
        <v>21</v>
      </c>
    </row>
    <row r="46" spans="4:10" x14ac:dyDescent="0.25">
      <c r="G46" s="12" t="s">
        <v>12</v>
      </c>
      <c r="H46" s="13" t="s">
        <v>13</v>
      </c>
      <c r="I46" s="14" t="s">
        <v>14</v>
      </c>
    </row>
  </sheetData>
  <mergeCells count="25">
    <mergeCell ref="D8:D11"/>
    <mergeCell ref="E8:E9"/>
    <mergeCell ref="E10:E11"/>
    <mergeCell ref="D12:D15"/>
    <mergeCell ref="E12:E13"/>
    <mergeCell ref="E14:E15"/>
    <mergeCell ref="D38:D39"/>
    <mergeCell ref="E38:E39"/>
    <mergeCell ref="D30:D33"/>
    <mergeCell ref="E30:E31"/>
    <mergeCell ref="E32:E33"/>
    <mergeCell ref="D34:D37"/>
    <mergeCell ref="E34:E35"/>
    <mergeCell ref="E36:E37"/>
    <mergeCell ref="E24:E25"/>
    <mergeCell ref="D26:D29"/>
    <mergeCell ref="E26:E27"/>
    <mergeCell ref="E28:E29"/>
    <mergeCell ref="D16:D19"/>
    <mergeCell ref="E16:E17"/>
    <mergeCell ref="D24:D25"/>
    <mergeCell ref="E18:E19"/>
    <mergeCell ref="D20:D23"/>
    <mergeCell ref="E20:E21"/>
    <mergeCell ref="E22:E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0F66-B73B-4024-8B3D-E85F6FE3C626}">
  <dimension ref="A6:BA53"/>
  <sheetViews>
    <sheetView tabSelected="1" topLeftCell="J9" zoomScale="115" zoomScaleNormal="55" workbookViewId="0">
      <selection activeCell="AC20" sqref="AC20"/>
    </sheetView>
  </sheetViews>
  <sheetFormatPr defaultRowHeight="15" x14ac:dyDescent="0.25"/>
  <cols>
    <col min="4" max="4" width="9.140625" style="1"/>
    <col min="5" max="5" width="3.140625" style="1" customWidth="1"/>
    <col min="6" max="6" width="12.85546875" style="1" customWidth="1"/>
    <col min="7" max="9" width="9.140625" style="1"/>
    <col min="10" max="10" width="19" style="24" customWidth="1"/>
    <col min="11" max="11" width="9.7109375" customWidth="1"/>
    <col min="12" max="12" width="12.85546875" customWidth="1"/>
  </cols>
  <sheetData>
    <row r="6" spans="1:13" ht="45.75" customHeight="1" x14ac:dyDescent="0.25">
      <c r="G6" s="20"/>
      <c r="H6" s="20" t="s">
        <v>23</v>
      </c>
      <c r="I6" s="20"/>
      <c r="J6" s="23"/>
      <c r="K6" s="22"/>
      <c r="L6" s="22"/>
    </row>
    <row r="7" spans="1:13" x14ac:dyDescent="0.25">
      <c r="G7" s="14" t="s">
        <v>26</v>
      </c>
      <c r="H7" s="12" t="s">
        <v>27</v>
      </c>
      <c r="I7" s="13" t="s">
        <v>28</v>
      </c>
      <c r="K7" s="14" t="s">
        <v>26</v>
      </c>
      <c r="L7" s="12" t="s">
        <v>27</v>
      </c>
      <c r="M7" s="13" t="s">
        <v>28</v>
      </c>
    </row>
    <row r="8" spans="1:13" x14ac:dyDescent="0.25">
      <c r="A8" s="26" t="s">
        <v>5</v>
      </c>
      <c r="B8" s="26" t="s">
        <v>0</v>
      </c>
      <c r="C8" s="1" t="s">
        <v>2</v>
      </c>
      <c r="D8" s="26"/>
      <c r="F8" s="7" t="s">
        <v>29</v>
      </c>
      <c r="G8" s="2">
        <v>4.9100000000000001E-5</v>
      </c>
      <c r="H8" s="2">
        <v>5.6199999999999997E-5</v>
      </c>
      <c r="I8" s="2">
        <v>1.11E-5</v>
      </c>
      <c r="J8" s="7" t="s">
        <v>29</v>
      </c>
      <c r="K8">
        <f>LOG10(G8)</f>
        <v>-4.3089185078770313</v>
      </c>
      <c r="L8">
        <f>LOG10(H8)</f>
        <v>-4.2502636844309389</v>
      </c>
      <c r="M8">
        <f>LOG10(I8)</f>
        <v>-4.9546770212133424</v>
      </c>
    </row>
    <row r="9" spans="1:13" x14ac:dyDescent="0.25">
      <c r="A9" s="26"/>
      <c r="B9" s="26"/>
      <c r="C9" s="1" t="s">
        <v>3</v>
      </c>
      <c r="D9" s="26"/>
      <c r="F9" s="7" t="s">
        <v>29</v>
      </c>
      <c r="G9" s="2">
        <v>5.6800000000000002E-9</v>
      </c>
      <c r="H9" s="2">
        <v>6E-10</v>
      </c>
      <c r="I9" s="2">
        <v>1.5900000000000001E-12</v>
      </c>
      <c r="J9" s="7" t="s">
        <v>29</v>
      </c>
      <c r="K9">
        <f t="shared" ref="K9:K41" si="0">LOG10(G9)</f>
        <v>-8.2456516642889817</v>
      </c>
      <c r="L9">
        <f t="shared" ref="L9:L23" si="1">LOG10(H9)</f>
        <v>-9.2218487496163561</v>
      </c>
      <c r="M9">
        <f t="shared" ref="M9:M23" si="2">LOG10(I9)</f>
        <v>-11.798602875679549</v>
      </c>
    </row>
    <row r="10" spans="1:13" x14ac:dyDescent="0.25">
      <c r="A10" s="26"/>
      <c r="B10" s="26" t="s">
        <v>1</v>
      </c>
      <c r="C10" s="1" t="s">
        <v>2</v>
      </c>
      <c r="D10" s="26"/>
      <c r="F10" s="7" t="s">
        <v>30</v>
      </c>
      <c r="G10" s="2">
        <v>9.5999999999999996E-6</v>
      </c>
      <c r="H10" s="2">
        <v>1.3200000000000001E-5</v>
      </c>
      <c r="I10" s="2">
        <v>3.0199999999999999E-6</v>
      </c>
      <c r="J10" s="7" t="s">
        <v>30</v>
      </c>
      <c r="K10">
        <f t="shared" si="0"/>
        <v>-5.017728766960432</v>
      </c>
      <c r="L10">
        <f t="shared" si="1"/>
        <v>-4.8794260687941504</v>
      </c>
      <c r="M10">
        <f t="shared" si="2"/>
        <v>-5.519993057042849</v>
      </c>
    </row>
    <row r="11" spans="1:13" x14ac:dyDescent="0.25">
      <c r="A11" s="26"/>
      <c r="B11" s="26"/>
      <c r="C11" s="1" t="s">
        <v>3</v>
      </c>
      <c r="D11" s="26"/>
      <c r="F11" s="7" t="s">
        <v>30</v>
      </c>
      <c r="G11" s="2">
        <v>1.42E-8</v>
      </c>
      <c r="H11" s="2">
        <v>3.4699999999999999E-10</v>
      </c>
      <c r="I11" s="2">
        <v>2.3499999999999999E-12</v>
      </c>
      <c r="J11" s="7" t="s">
        <v>30</v>
      </c>
      <c r="K11">
        <f t="shared" si="0"/>
        <v>-7.8477116556169433</v>
      </c>
      <c r="L11">
        <f t="shared" si="1"/>
        <v>-9.4596705252091269</v>
      </c>
      <c r="M11">
        <f t="shared" si="2"/>
        <v>-11.628932137728263</v>
      </c>
    </row>
    <row r="12" spans="1:13" x14ac:dyDescent="0.25">
      <c r="A12" s="26" t="s">
        <v>4</v>
      </c>
      <c r="B12" s="26" t="s">
        <v>0</v>
      </c>
      <c r="C12" s="1" t="s">
        <v>2</v>
      </c>
      <c r="D12" s="26"/>
      <c r="F12" s="7" t="s">
        <v>31</v>
      </c>
      <c r="G12" s="2">
        <v>3.76E-6</v>
      </c>
      <c r="H12" s="2">
        <v>1.9999999999999999E-6</v>
      </c>
      <c r="I12" s="2">
        <v>3.8299999999999998E-7</v>
      </c>
      <c r="J12" s="7" t="s">
        <v>31</v>
      </c>
      <c r="K12">
        <f t="shared" si="0"/>
        <v>-5.4248121550723392</v>
      </c>
      <c r="L12">
        <f t="shared" si="1"/>
        <v>-5.6989700043360187</v>
      </c>
      <c r="M12">
        <f t="shared" si="2"/>
        <v>-6.4168012260313771</v>
      </c>
    </row>
    <row r="13" spans="1:13" x14ac:dyDescent="0.25">
      <c r="A13" s="26"/>
      <c r="B13" s="26"/>
      <c r="C13" s="1" t="s">
        <v>3</v>
      </c>
      <c r="D13" s="26"/>
      <c r="F13" s="7" t="s">
        <v>31</v>
      </c>
      <c r="G13" s="2">
        <v>6.6000000000000003E-6</v>
      </c>
      <c r="H13" s="2">
        <v>1.9800000000000002E-9</v>
      </c>
      <c r="I13" s="2">
        <v>1.42E-12</v>
      </c>
      <c r="J13" s="7" t="s">
        <v>31</v>
      </c>
      <c r="K13">
        <f t="shared" si="0"/>
        <v>-5.1804560644581317</v>
      </c>
      <c r="L13">
        <f t="shared" si="1"/>
        <v>-8.7033348097384682</v>
      </c>
      <c r="M13">
        <f t="shared" si="2"/>
        <v>-11.847711655616944</v>
      </c>
    </row>
    <row r="14" spans="1:13" x14ac:dyDescent="0.25">
      <c r="A14" s="26"/>
      <c r="B14" s="26" t="s">
        <v>1</v>
      </c>
      <c r="C14" s="1" t="s">
        <v>2</v>
      </c>
      <c r="D14" s="26"/>
      <c r="F14" s="7" t="s">
        <v>32</v>
      </c>
      <c r="G14" s="2">
        <v>7.0999999999999998E-6</v>
      </c>
      <c r="H14" s="2">
        <v>4.1099999999999996E-6</v>
      </c>
      <c r="I14" s="2">
        <v>7.0300000000000001E-8</v>
      </c>
      <c r="J14" s="7" t="s">
        <v>32</v>
      </c>
      <c r="K14">
        <f t="shared" si="0"/>
        <v>-5.1487416512809245</v>
      </c>
      <c r="L14">
        <f t="shared" si="1"/>
        <v>-5.3861581781239307</v>
      </c>
      <c r="M14">
        <f t="shared" si="2"/>
        <v>-7.1530446749801762</v>
      </c>
    </row>
    <row r="15" spans="1:13" x14ac:dyDescent="0.25">
      <c r="A15" s="26"/>
      <c r="B15" s="26"/>
      <c r="C15" s="1" t="s">
        <v>3</v>
      </c>
      <c r="D15" s="26"/>
      <c r="F15" s="7" t="s">
        <v>32</v>
      </c>
      <c r="G15" s="2">
        <v>6.1700000000000004E-11</v>
      </c>
      <c r="H15" s="2">
        <v>9.1099999999999996E-10</v>
      </c>
      <c r="I15" s="2">
        <v>6.5600000000000003E-13</v>
      </c>
      <c r="J15" s="7" t="s">
        <v>32</v>
      </c>
      <c r="K15">
        <f t="shared" si="0"/>
        <v>-10.209714835966759</v>
      </c>
      <c r="L15">
        <f t="shared" si="1"/>
        <v>-9.0404816230270022</v>
      </c>
      <c r="M15">
        <f t="shared" si="2"/>
        <v>-12.18309616062434</v>
      </c>
    </row>
    <row r="16" spans="1:13" x14ac:dyDescent="0.25">
      <c r="A16" s="26" t="s">
        <v>6</v>
      </c>
      <c r="B16" s="26" t="s">
        <v>0</v>
      </c>
      <c r="C16" s="1" t="s">
        <v>2</v>
      </c>
      <c r="D16" s="26"/>
      <c r="F16" s="7" t="s">
        <v>39</v>
      </c>
      <c r="G16" s="2">
        <v>1.9000000000000001E-5</v>
      </c>
      <c r="H16" s="2">
        <v>3.1000000000000001E-5</v>
      </c>
      <c r="I16" s="2">
        <v>3.0800000000000001E-7</v>
      </c>
      <c r="J16" s="7" t="s">
        <v>39</v>
      </c>
      <c r="K16">
        <f t="shared" si="0"/>
        <v>-4.7212463990471711</v>
      </c>
      <c r="L16">
        <f t="shared" si="1"/>
        <v>-4.5086383061657269</v>
      </c>
      <c r="M16">
        <f t="shared" si="2"/>
        <v>-6.5114492834995561</v>
      </c>
    </row>
    <row r="17" spans="1:13" x14ac:dyDescent="0.25">
      <c r="A17" s="26"/>
      <c r="B17" s="26"/>
      <c r="C17" s="1" t="s">
        <v>3</v>
      </c>
      <c r="D17" s="26"/>
      <c r="F17" s="7" t="s">
        <v>39</v>
      </c>
      <c r="G17" s="2">
        <v>1.3799999999999999E-8</v>
      </c>
      <c r="H17" s="2">
        <v>6.4400000000000001E-9</v>
      </c>
      <c r="I17" s="2">
        <v>8.4400000000000004E-13</v>
      </c>
      <c r="J17" s="7" t="s">
        <v>39</v>
      </c>
      <c r="K17">
        <f t="shared" si="0"/>
        <v>-7.8601209135987631</v>
      </c>
      <c r="L17">
        <f t="shared" si="1"/>
        <v>-8.1911141326401875</v>
      </c>
      <c r="M17">
        <f t="shared" si="2"/>
        <v>-12.073657553374344</v>
      </c>
    </row>
    <row r="18" spans="1:13" x14ac:dyDescent="0.25">
      <c r="A18" s="26"/>
      <c r="B18" s="26" t="s">
        <v>1</v>
      </c>
      <c r="C18" s="1" t="s">
        <v>2</v>
      </c>
      <c r="D18" s="26"/>
      <c r="F18" s="7" t="s">
        <v>40</v>
      </c>
      <c r="G18" s="2">
        <v>1.7099999999999999E-5</v>
      </c>
      <c r="H18" s="2">
        <v>2.09E-5</v>
      </c>
      <c r="I18" s="2">
        <v>1.19E-6</v>
      </c>
      <c r="J18" s="7" t="s">
        <v>40</v>
      </c>
      <c r="K18">
        <f t="shared" si="0"/>
        <v>-4.7670038896078459</v>
      </c>
      <c r="L18">
        <f t="shared" si="1"/>
        <v>-4.6798537138889458</v>
      </c>
      <c r="M18">
        <f t="shared" si="2"/>
        <v>-5.924453038607469</v>
      </c>
    </row>
    <row r="19" spans="1:13" x14ac:dyDescent="0.25">
      <c r="A19" s="26"/>
      <c r="B19" s="26"/>
      <c r="C19" s="1" t="s">
        <v>3</v>
      </c>
      <c r="D19" s="26"/>
      <c r="F19" s="7" t="s">
        <v>40</v>
      </c>
      <c r="G19" s="2">
        <v>1.14E-8</v>
      </c>
      <c r="H19" s="2">
        <v>4.8499999999999996E-9</v>
      </c>
      <c r="I19" s="2">
        <v>5.4200000000000001E-13</v>
      </c>
      <c r="J19" s="7" t="s">
        <v>40</v>
      </c>
      <c r="K19">
        <f t="shared" si="0"/>
        <v>-7.9430951486635273</v>
      </c>
      <c r="L19">
        <f t="shared" si="1"/>
        <v>-8.314258261397736</v>
      </c>
      <c r="M19">
        <f t="shared" si="2"/>
        <v>-12.266000713461613</v>
      </c>
    </row>
    <row r="20" spans="1:13" x14ac:dyDescent="0.25">
      <c r="A20" s="26" t="s">
        <v>7</v>
      </c>
      <c r="B20" s="26" t="s">
        <v>0</v>
      </c>
      <c r="C20" s="1" t="s">
        <v>2</v>
      </c>
      <c r="D20" s="26"/>
      <c r="F20" s="7" t="s">
        <v>7</v>
      </c>
      <c r="G20" s="2">
        <v>4.0200000000000001E-5</v>
      </c>
      <c r="H20" s="2">
        <v>1.98E-5</v>
      </c>
      <c r="I20" s="2">
        <v>4.1199999999999998E-7</v>
      </c>
      <c r="J20" s="7" t="s">
        <v>7</v>
      </c>
      <c r="K20">
        <f t="shared" si="0"/>
        <v>-4.3957739469155301</v>
      </c>
      <c r="L20">
        <f t="shared" si="1"/>
        <v>-4.7033348097384691</v>
      </c>
      <c r="M20">
        <f t="shared" si="2"/>
        <v>-6.3851027839668655</v>
      </c>
    </row>
    <row r="21" spans="1:13" x14ac:dyDescent="0.25">
      <c r="A21" s="26"/>
      <c r="B21" s="26"/>
      <c r="C21" s="1" t="s">
        <v>3</v>
      </c>
      <c r="D21" s="26"/>
      <c r="F21" s="7" t="s">
        <v>7</v>
      </c>
      <c r="G21" s="2">
        <v>1.4100000000000001E-8</v>
      </c>
      <c r="H21" s="2">
        <v>5.6299999999999998E-9</v>
      </c>
      <c r="I21" s="2">
        <v>1.66E-12</v>
      </c>
      <c r="J21" s="7" t="s">
        <v>7</v>
      </c>
      <c r="K21">
        <f t="shared" si="0"/>
        <v>-7.8507808873446203</v>
      </c>
      <c r="L21">
        <f t="shared" si="1"/>
        <v>-8.2494916051486538</v>
      </c>
      <c r="M21">
        <f t="shared" si="2"/>
        <v>-11.779891911959945</v>
      </c>
    </row>
    <row r="22" spans="1:13" x14ac:dyDescent="0.25">
      <c r="A22" s="26" t="s">
        <v>8</v>
      </c>
      <c r="B22" s="26" t="s">
        <v>0</v>
      </c>
      <c r="C22" s="1" t="s">
        <v>2</v>
      </c>
      <c r="D22" s="26"/>
      <c r="F22" s="7" t="s">
        <v>33</v>
      </c>
      <c r="G22" s="2">
        <v>1.4399999999999999E-5</v>
      </c>
      <c r="H22" s="2">
        <v>1.34E-5</v>
      </c>
      <c r="I22" s="2">
        <v>8.8800000000000001E-7</v>
      </c>
      <c r="J22" s="7" t="s">
        <v>33</v>
      </c>
      <c r="K22">
        <f t="shared" si="0"/>
        <v>-4.8416375079047507</v>
      </c>
      <c r="L22">
        <f t="shared" si="1"/>
        <v>-4.8728952016351927</v>
      </c>
      <c r="M22">
        <f t="shared" si="2"/>
        <v>-6.0515870342213987</v>
      </c>
    </row>
    <row r="23" spans="1:13" x14ac:dyDescent="0.25">
      <c r="A23" s="26"/>
      <c r="B23" s="26"/>
      <c r="C23" s="1" t="s">
        <v>3</v>
      </c>
      <c r="D23" s="26"/>
      <c r="F23" s="7" t="s">
        <v>33</v>
      </c>
      <c r="G23" s="2">
        <v>1.4E-8</v>
      </c>
      <c r="H23" s="2">
        <v>3.9700000000000001E-9</v>
      </c>
      <c r="I23" s="2">
        <v>2.2100000000000001E-12</v>
      </c>
      <c r="J23" s="7" t="s">
        <v>33</v>
      </c>
      <c r="K23">
        <f t="shared" si="0"/>
        <v>-7.8538719643217618</v>
      </c>
      <c r="L23">
        <f t="shared" si="1"/>
        <v>-8.4012094932368857</v>
      </c>
      <c r="M23">
        <f t="shared" si="2"/>
        <v>-11.655607726314889</v>
      </c>
    </row>
    <row r="24" spans="1:13" x14ac:dyDescent="0.25">
      <c r="A24" s="26"/>
      <c r="B24" s="26" t="s">
        <v>1</v>
      </c>
      <c r="C24" s="1" t="s">
        <v>2</v>
      </c>
      <c r="D24" s="26"/>
      <c r="F24" s="7" t="s">
        <v>36</v>
      </c>
      <c r="G24" s="2">
        <v>2.51E-5</v>
      </c>
      <c r="H24" s="2">
        <v>6.7499999999999997E-6</v>
      </c>
      <c r="I24" s="2">
        <v>1.61E-6</v>
      </c>
      <c r="J24" s="7" t="s">
        <v>36</v>
      </c>
      <c r="K24">
        <f t="shared" si="0"/>
        <v>-4.6003262785189616</v>
      </c>
      <c r="L24">
        <f t="shared" ref="L24:L41" si="3">LOG10(H24)</f>
        <v>-5.1706962271689747</v>
      </c>
      <c r="M24">
        <f t="shared" ref="M24:M41" si="4">LOG10(I24)</f>
        <v>-5.79317412396815</v>
      </c>
    </row>
    <row r="25" spans="1:13" x14ac:dyDescent="0.25">
      <c r="A25" s="26"/>
      <c r="B25" s="26"/>
      <c r="C25" s="1" t="s">
        <v>3</v>
      </c>
      <c r="D25" s="26"/>
      <c r="F25" s="7" t="s">
        <v>36</v>
      </c>
      <c r="G25" s="2">
        <v>2.81E-9</v>
      </c>
      <c r="H25" s="2">
        <v>3.8200000000000003E-10</v>
      </c>
      <c r="I25" s="2">
        <v>2.4099999999999998E-13</v>
      </c>
      <c r="J25" s="7" t="s">
        <v>36</v>
      </c>
      <c r="K25">
        <f t="shared" si="0"/>
        <v>-8.5512936800949202</v>
      </c>
      <c r="L25">
        <f t="shared" si="3"/>
        <v>-9.4179366370882907</v>
      </c>
      <c r="M25">
        <f t="shared" si="4"/>
        <v>-12.617982957425131</v>
      </c>
    </row>
    <row r="26" spans="1:13" x14ac:dyDescent="0.25">
      <c r="A26" s="26" t="s">
        <v>9</v>
      </c>
      <c r="B26" s="26" t="s">
        <v>0</v>
      </c>
      <c r="C26" s="1" t="s">
        <v>2</v>
      </c>
      <c r="D26" s="26"/>
      <c r="F26" s="7" t="s">
        <v>34</v>
      </c>
      <c r="G26" s="2">
        <v>3.8999999999999999E-5</v>
      </c>
      <c r="H26" s="2">
        <v>1.8E-5</v>
      </c>
      <c r="I26" s="2">
        <v>2.6800000000000002E-6</v>
      </c>
      <c r="J26" s="7" t="s">
        <v>34</v>
      </c>
      <c r="K26">
        <f t="shared" si="0"/>
        <v>-4.4089353929735005</v>
      </c>
      <c r="L26">
        <f t="shared" si="3"/>
        <v>-4.7447274948966935</v>
      </c>
      <c r="M26">
        <f t="shared" si="4"/>
        <v>-5.5718652059712115</v>
      </c>
    </row>
    <row r="27" spans="1:13" x14ac:dyDescent="0.25">
      <c r="A27" s="26"/>
      <c r="B27" s="26"/>
      <c r="C27" s="1" t="s">
        <v>3</v>
      </c>
      <c r="D27" s="26"/>
      <c r="F27" s="7" t="s">
        <v>34</v>
      </c>
      <c r="G27" s="2">
        <v>2.1400000000000001E-10</v>
      </c>
      <c r="H27" s="2">
        <v>7.1699999999999998E-9</v>
      </c>
      <c r="I27" s="2">
        <v>2.1399999999999998E-11</v>
      </c>
      <c r="J27" s="7" t="s">
        <v>34</v>
      </c>
      <c r="K27">
        <f t="shared" si="0"/>
        <v>-9.669586226650809</v>
      </c>
      <c r="L27">
        <f t="shared" si="3"/>
        <v>-8.1444808443322003</v>
      </c>
      <c r="M27">
        <f t="shared" si="4"/>
        <v>-10.669586226650809</v>
      </c>
    </row>
    <row r="28" spans="1:13" x14ac:dyDescent="0.25">
      <c r="A28" s="26"/>
      <c r="B28" s="26" t="s">
        <v>1</v>
      </c>
      <c r="C28" s="1" t="s">
        <v>2</v>
      </c>
      <c r="D28" s="26"/>
      <c r="F28" s="7" t="s">
        <v>37</v>
      </c>
      <c r="G28" s="2">
        <v>6.4999999999999994E-5</v>
      </c>
      <c r="H28" s="2">
        <v>5.8900000000000002E-5</v>
      </c>
      <c r="I28" s="2">
        <v>4.32E-5</v>
      </c>
      <c r="J28" s="7" t="s">
        <v>37</v>
      </c>
      <c r="K28">
        <f t="shared" si="0"/>
        <v>-4.1870866433571443</v>
      </c>
      <c r="L28">
        <f t="shared" si="3"/>
        <v>-4.2298847052128981</v>
      </c>
      <c r="M28">
        <f t="shared" si="4"/>
        <v>-4.3645162531850881</v>
      </c>
    </row>
    <row r="29" spans="1:13" x14ac:dyDescent="0.25">
      <c r="A29" s="26"/>
      <c r="B29" s="26"/>
      <c r="C29" s="1" t="s">
        <v>3</v>
      </c>
      <c r="D29" s="26"/>
      <c r="F29" s="7" t="s">
        <v>37</v>
      </c>
      <c r="G29" s="2">
        <v>3.5000000000000002E-8</v>
      </c>
      <c r="H29" s="2">
        <v>1.85E-9</v>
      </c>
      <c r="I29" s="2">
        <v>1.24E-12</v>
      </c>
      <c r="J29" s="7" t="s">
        <v>37</v>
      </c>
      <c r="K29">
        <f t="shared" si="0"/>
        <v>-7.4559319556497243</v>
      </c>
      <c r="L29">
        <f t="shared" si="3"/>
        <v>-8.7328282715969863</v>
      </c>
      <c r="M29">
        <f t="shared" si="4"/>
        <v>-11.906578314837764</v>
      </c>
    </row>
    <row r="30" spans="1:13" x14ac:dyDescent="0.25">
      <c r="A30" s="26" t="s">
        <v>10</v>
      </c>
      <c r="B30" s="26" t="s">
        <v>0</v>
      </c>
      <c r="C30" s="1" t="s">
        <v>2</v>
      </c>
      <c r="D30" s="26"/>
      <c r="F30" s="7" t="s">
        <v>35</v>
      </c>
      <c r="G30" s="2">
        <v>5.0099999999999998E-5</v>
      </c>
      <c r="H30" s="2">
        <v>1.8600000000000001E-5</v>
      </c>
      <c r="I30" s="2">
        <v>3.0900000000000001E-6</v>
      </c>
      <c r="J30" s="7" t="s">
        <v>35</v>
      </c>
      <c r="K30">
        <f t="shared" si="0"/>
        <v>-4.3001622741327541</v>
      </c>
      <c r="L30">
        <f t="shared" si="3"/>
        <v>-4.7304870557820839</v>
      </c>
      <c r="M30">
        <f t="shared" si="4"/>
        <v>-5.5100415205751654</v>
      </c>
    </row>
    <row r="31" spans="1:13" x14ac:dyDescent="0.25">
      <c r="A31" s="26"/>
      <c r="B31" s="26"/>
      <c r="C31" s="1" t="s">
        <v>3</v>
      </c>
      <c r="D31" s="26"/>
      <c r="F31" s="7" t="s">
        <v>35</v>
      </c>
      <c r="G31" s="2">
        <v>1.4E-8</v>
      </c>
      <c r="H31" s="2">
        <v>2.7000000000000002E-9</v>
      </c>
      <c r="I31" s="2">
        <v>9.3199999999999999E-12</v>
      </c>
      <c r="J31" s="7" t="s">
        <v>35</v>
      </c>
      <c r="K31">
        <f t="shared" si="0"/>
        <v>-7.8538719643217618</v>
      </c>
      <c r="L31">
        <f t="shared" si="3"/>
        <v>-8.5686362358410122</v>
      </c>
      <c r="M31">
        <f t="shared" si="4"/>
        <v>-11.030584087646019</v>
      </c>
    </row>
    <row r="32" spans="1:13" x14ac:dyDescent="0.25">
      <c r="A32" s="26"/>
      <c r="B32" s="26" t="s">
        <v>1</v>
      </c>
      <c r="C32" s="1" t="s">
        <v>2</v>
      </c>
      <c r="D32" s="26"/>
      <c r="F32" s="7" t="s">
        <v>38</v>
      </c>
      <c r="G32" s="2">
        <v>9.8099999999999992E-6</v>
      </c>
      <c r="H32" s="2">
        <v>4.9799999999999998E-6</v>
      </c>
      <c r="I32" s="2">
        <v>4.3000000000000001E-7</v>
      </c>
      <c r="J32" s="7" t="s">
        <v>38</v>
      </c>
      <c r="K32">
        <f t="shared" si="0"/>
        <v>-5.0083309926200519</v>
      </c>
      <c r="L32">
        <f t="shared" si="3"/>
        <v>-5.3027706572402824</v>
      </c>
      <c r="M32">
        <f t="shared" si="4"/>
        <v>-6.3665315444204138</v>
      </c>
    </row>
    <row r="33" spans="1:13" x14ac:dyDescent="0.25">
      <c r="A33" s="26"/>
      <c r="B33" s="26"/>
      <c r="C33" s="1" t="s">
        <v>3</v>
      </c>
      <c r="D33" s="26"/>
      <c r="F33" s="7" t="s">
        <v>38</v>
      </c>
      <c r="G33" s="2">
        <v>5.1499999999999998E-9</v>
      </c>
      <c r="H33" s="2">
        <v>1.38E-9</v>
      </c>
      <c r="I33" s="2">
        <v>1.9899999999999998E-12</v>
      </c>
      <c r="J33" s="7" t="s">
        <v>38</v>
      </c>
      <c r="K33">
        <f t="shared" si="0"/>
        <v>-8.2881927709588084</v>
      </c>
      <c r="L33">
        <f t="shared" si="3"/>
        <v>-8.8601209135987631</v>
      </c>
      <c r="M33">
        <f t="shared" si="4"/>
        <v>-11.701146923590294</v>
      </c>
    </row>
    <row r="34" spans="1:13" x14ac:dyDescent="0.25">
      <c r="A34" s="26" t="s">
        <v>11</v>
      </c>
      <c r="B34" s="26" t="s">
        <v>0</v>
      </c>
      <c r="C34" s="1" t="s">
        <v>2</v>
      </c>
      <c r="D34" s="26"/>
      <c r="F34" s="7" t="s">
        <v>11</v>
      </c>
      <c r="G34" s="2">
        <v>1.67E-3</v>
      </c>
      <c r="H34" s="2">
        <v>3.0400000000000002E-4</v>
      </c>
      <c r="I34" s="2">
        <v>8.7399999999999997E-5</v>
      </c>
      <c r="J34" s="7" t="s">
        <v>11</v>
      </c>
      <c r="K34">
        <f t="shared" si="0"/>
        <v>-2.7772835288524167</v>
      </c>
      <c r="L34">
        <f t="shared" si="3"/>
        <v>-3.5171264163912461</v>
      </c>
      <c r="M34">
        <f t="shared" si="4"/>
        <v>-4.0584885673655968</v>
      </c>
    </row>
    <row r="35" spans="1:13" x14ac:dyDescent="0.25">
      <c r="A35" s="26"/>
      <c r="B35" s="26"/>
      <c r="C35" s="1" t="s">
        <v>3</v>
      </c>
      <c r="D35" s="26"/>
      <c r="F35" s="7" t="s">
        <v>11</v>
      </c>
      <c r="G35" s="2">
        <v>1.4100000000000001E-8</v>
      </c>
      <c r="H35" s="2">
        <v>8.6399999999999999E-9</v>
      </c>
      <c r="I35" s="2">
        <v>1.7399999999999999E-11</v>
      </c>
      <c r="J35" s="7" t="s">
        <v>11</v>
      </c>
      <c r="K35">
        <f t="shared" si="0"/>
        <v>-7.8507808873446203</v>
      </c>
      <c r="L35">
        <f t="shared" si="3"/>
        <v>-8.0634862575211059</v>
      </c>
      <c r="M35">
        <f t="shared" si="4"/>
        <v>-10.759450751717401</v>
      </c>
    </row>
    <row r="36" spans="1:13" x14ac:dyDescent="0.25">
      <c r="A36" s="26" t="s">
        <v>25</v>
      </c>
      <c r="B36" s="1" t="s">
        <v>24</v>
      </c>
      <c r="C36" s="17" t="s">
        <v>2</v>
      </c>
      <c r="D36" s="26"/>
      <c r="F36" s="7" t="s">
        <v>25</v>
      </c>
      <c r="G36" s="8">
        <f t="shared" ref="G36:I37" si="5">AVERAGE(G8,G10,G12,G14,G16,G18,G20,G22,G24,G26,G28,G30,G32,G34)</f>
        <v>1.4423357142857144E-4</v>
      </c>
      <c r="H36" s="8">
        <f t="shared" si="5"/>
        <v>4.0845714285714295E-5</v>
      </c>
      <c r="I36" s="8">
        <f t="shared" si="5"/>
        <v>1.1127235714285713E-5</v>
      </c>
      <c r="J36" s="7" t="s">
        <v>25</v>
      </c>
      <c r="K36">
        <f t="shared" si="0"/>
        <v>-3.840933642603702</v>
      </c>
      <c r="L36">
        <f t="shared" si="3"/>
        <v>-4.3888535048526878</v>
      </c>
      <c r="M36">
        <f t="shared" si="4"/>
        <v>-4.9536127119580806</v>
      </c>
    </row>
    <row r="37" spans="1:13" x14ac:dyDescent="0.25">
      <c r="A37" s="26"/>
      <c r="B37" s="1" t="s">
        <v>24</v>
      </c>
      <c r="C37" s="18" t="s">
        <v>3</v>
      </c>
      <c r="D37" s="26"/>
      <c r="F37" s="7" t="s">
        <v>25</v>
      </c>
      <c r="G37" s="10">
        <f t="shared" si="5"/>
        <v>4.8175112142857149E-7</v>
      </c>
      <c r="H37" s="10">
        <f t="shared" si="5"/>
        <v>3.3464285714285716E-9</v>
      </c>
      <c r="I37" s="10">
        <f t="shared" si="5"/>
        <v>4.490214285714286E-12</v>
      </c>
      <c r="J37" s="7" t="s">
        <v>25</v>
      </c>
      <c r="K37">
        <f t="shared" si="0"/>
        <v>-6.3171772657131458</v>
      </c>
      <c r="L37">
        <f t="shared" si="3"/>
        <v>-8.4754184404544404</v>
      </c>
      <c r="M37">
        <f t="shared" si="4"/>
        <v>-11.347732932742197</v>
      </c>
    </row>
    <row r="38" spans="1:13" x14ac:dyDescent="0.25">
      <c r="F38" s="15" t="s">
        <v>16</v>
      </c>
      <c r="G38" s="3">
        <f>AVERAGE(G8:G35)</f>
        <v>7.2357661275000007E-5</v>
      </c>
      <c r="H38" s="3">
        <f>AVERAGE(H8:H35)</f>
        <v>2.0424530357142859E-5</v>
      </c>
      <c r="I38" s="3">
        <f>AVERAGE(I8:I35)</f>
        <v>5.5636201022499999E-6</v>
      </c>
      <c r="J38" s="25"/>
      <c r="K38">
        <f t="shared" si="0"/>
        <v>-4.1405154787356144</v>
      </c>
      <c r="L38">
        <f t="shared" si="3"/>
        <v>-4.6898479208737003</v>
      </c>
      <c r="M38">
        <f t="shared" si="4"/>
        <v>-5.2546425323696502</v>
      </c>
    </row>
    <row r="39" spans="1:13" x14ac:dyDescent="0.25">
      <c r="F39" s="16" t="s">
        <v>17</v>
      </c>
      <c r="G39" s="5">
        <f>MEDIAN(G8:G35)</f>
        <v>5.1800000000000004E-6</v>
      </c>
      <c r="H39" s="5">
        <f>MEDIAN(H8:H35)</f>
        <v>1.00432E-6</v>
      </c>
      <c r="I39" s="5">
        <f>MEDIAN(I8:I35)</f>
        <v>3.5160699999999997E-8</v>
      </c>
      <c r="J39" s="25"/>
      <c r="K39">
        <f t="shared" si="0"/>
        <v>-5.2856702402547668</v>
      </c>
      <c r="L39">
        <f t="shared" si="3"/>
        <v>-5.9981278886933644</v>
      </c>
      <c r="M39">
        <f t="shared" si="4"/>
        <v>-7.453942487320929</v>
      </c>
    </row>
    <row r="40" spans="1:13" x14ac:dyDescent="0.25">
      <c r="F40" s="16" t="s">
        <v>19</v>
      </c>
      <c r="G40" s="8">
        <f t="shared" ref="G40:I41" si="6">MEDIAN(G8,G10,G12,G14,G16,G18,G20,G22,G24,G26,G28,G30,G32,G34)</f>
        <v>2.2050000000000001E-5</v>
      </c>
      <c r="H40" s="8">
        <f t="shared" si="6"/>
        <v>1.8300000000000001E-5</v>
      </c>
      <c r="I40" s="8">
        <f t="shared" si="6"/>
        <v>1.4000000000000001E-6</v>
      </c>
      <c r="J40" s="25"/>
      <c r="K40">
        <f t="shared" si="0"/>
        <v>-4.6565914061961431</v>
      </c>
      <c r="L40">
        <f t="shared" si="3"/>
        <v>-4.7375489102695703</v>
      </c>
      <c r="M40">
        <f t="shared" si="4"/>
        <v>-5.8538719643217618</v>
      </c>
    </row>
    <row r="41" spans="1:13" x14ac:dyDescent="0.25">
      <c r="F41" s="18" t="s">
        <v>21</v>
      </c>
      <c r="G41" s="8">
        <f t="shared" si="6"/>
        <v>1.3899999999999999E-8</v>
      </c>
      <c r="H41" s="8">
        <f t="shared" si="6"/>
        <v>2.3400000000000002E-9</v>
      </c>
      <c r="I41" s="8">
        <f t="shared" si="6"/>
        <v>1.625E-12</v>
      </c>
      <c r="J41" s="25"/>
      <c r="K41">
        <f t="shared" si="0"/>
        <v>-7.856985199745905</v>
      </c>
      <c r="L41">
        <f t="shared" si="3"/>
        <v>-8.6307841425898566</v>
      </c>
      <c r="M41">
        <f t="shared" si="4"/>
        <v>-11.789146634685107</v>
      </c>
    </row>
    <row r="42" spans="1:13" x14ac:dyDescent="0.25">
      <c r="F42" s="19"/>
      <c r="G42" s="14" t="s">
        <v>26</v>
      </c>
      <c r="H42" s="12" t="s">
        <v>27</v>
      </c>
      <c r="I42" s="13" t="s">
        <v>28</v>
      </c>
      <c r="K42" s="14" t="s">
        <v>26</v>
      </c>
      <c r="L42" s="12" t="s">
        <v>27</v>
      </c>
      <c r="M42" s="13" t="s">
        <v>28</v>
      </c>
    </row>
    <row r="53" spans="53:53" x14ac:dyDescent="0.25">
      <c r="BA53" s="21"/>
    </row>
  </sheetData>
  <mergeCells count="32">
    <mergeCell ref="D8:D11"/>
    <mergeCell ref="D12:D15"/>
    <mergeCell ref="D34:D35"/>
    <mergeCell ref="D26:D29"/>
    <mergeCell ref="D30:D33"/>
    <mergeCell ref="D20:D21"/>
    <mergeCell ref="D22:D25"/>
    <mergeCell ref="D36:D37"/>
    <mergeCell ref="D16:D19"/>
    <mergeCell ref="A8:A11"/>
    <mergeCell ref="B8:B9"/>
    <mergeCell ref="B10:B11"/>
    <mergeCell ref="A12:A15"/>
    <mergeCell ref="B12:B13"/>
    <mergeCell ref="B14:B15"/>
    <mergeCell ref="A16:A19"/>
    <mergeCell ref="B16:B17"/>
    <mergeCell ref="B18:B19"/>
    <mergeCell ref="A20:A21"/>
    <mergeCell ref="B20:B21"/>
    <mergeCell ref="A22:A25"/>
    <mergeCell ref="B22:B23"/>
    <mergeCell ref="B24:B25"/>
    <mergeCell ref="A26:A29"/>
    <mergeCell ref="B26:B27"/>
    <mergeCell ref="B28:B29"/>
    <mergeCell ref="A36:A37"/>
    <mergeCell ref="A30:A33"/>
    <mergeCell ref="B30:B31"/>
    <mergeCell ref="B32:B33"/>
    <mergeCell ref="A34:A35"/>
    <mergeCell ref="B34:B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comJiji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Costa Henrique</dc:creator>
  <cp:lastModifiedBy>afonso henrique</cp:lastModifiedBy>
  <dcterms:created xsi:type="dcterms:W3CDTF">2025-07-22T16:56:11Z</dcterms:created>
  <dcterms:modified xsi:type="dcterms:W3CDTF">2026-05-12T10:57:06Z</dcterms:modified>
</cp:coreProperties>
</file>