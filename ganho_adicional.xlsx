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fons\OneDrive - Universidade de Lisboa\Controlo de Plataforma Sismica\minimesa_data\"/>
    </mc:Choice>
  </mc:AlternateContent>
  <xr:revisionPtr revIDLastSave="0" documentId="13_ncr:1_{D9DD3A2A-B7A2-4D32-8614-08600FE209E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3" i="1" s="1"/>
  <c r="G14" i="1" s="1"/>
  <c r="G16" i="1" s="1"/>
  <c r="H11" i="1"/>
  <c r="H13" i="1" s="1"/>
  <c r="H14" i="1" s="1"/>
  <c r="H16" i="1" s="1"/>
  <c r="I11" i="1"/>
  <c r="G12" i="1"/>
  <c r="H12" i="1"/>
  <c r="I12" i="1"/>
  <c r="I13" i="1" s="1"/>
  <c r="I14" i="1" s="1"/>
  <c r="I16" i="1" s="1"/>
  <c r="F12" i="1"/>
  <c r="F11" i="1"/>
  <c r="F13" i="1" s="1"/>
  <c r="F14" i="1" s="1"/>
  <c r="F16" i="1" s="1"/>
  <c r="G6" i="1"/>
  <c r="G7" i="1" s="1"/>
  <c r="G9" i="1" s="1"/>
  <c r="H6" i="1"/>
  <c r="H7" i="1" s="1"/>
  <c r="H9" i="1" s="1"/>
  <c r="I6" i="1"/>
  <c r="I7" i="1" s="1"/>
  <c r="I9" i="1" s="1"/>
  <c r="F6" i="1"/>
  <c r="F7" i="1" s="1"/>
  <c r="F9" i="1" s="1"/>
  <c r="J9" i="1" l="1"/>
  <c r="J10" i="1" s="1"/>
</calcChain>
</file>

<file path=xl/sharedStrings.xml><?xml version="1.0" encoding="utf-8"?>
<sst xmlns="http://schemas.openxmlformats.org/spreadsheetml/2006/main" count="27" uniqueCount="23">
  <si>
    <t>erro</t>
  </si>
  <si>
    <t>K</t>
  </si>
  <si>
    <t>u_esperado</t>
  </si>
  <si>
    <t>u_real</t>
  </si>
  <si>
    <t>k_adicional</t>
  </si>
  <si>
    <t>inverso</t>
  </si>
  <si>
    <t>Canal</t>
  </si>
  <si>
    <t>AI2</t>
  </si>
  <si>
    <t>Nome</t>
  </si>
  <si>
    <t>LVDT Mini</t>
  </si>
  <si>
    <t>a</t>
  </si>
  <si>
    <t>b</t>
  </si>
  <si>
    <t>Unit</t>
  </si>
  <si>
    <t>mm</t>
  </si>
  <si>
    <t>Full scale</t>
  </si>
  <si>
    <t>k_médio</t>
  </si>
  <si>
    <t>setpoint (mm)</t>
  </si>
  <si>
    <t>x_acq (mm)</t>
  </si>
  <si>
    <t>setpoint (bits)</t>
  </si>
  <si>
    <t>x_acq (bits)</t>
  </si>
  <si>
    <t>Conclusão:</t>
  </si>
  <si>
    <t xml:space="preserve"> O controlo é feito em unidades de bit !!</t>
  </si>
  <si>
    <r>
      <rPr>
        <sz val="11"/>
        <color theme="1"/>
        <rFont val="Calibri"/>
        <family val="2"/>
        <scheme val="minor"/>
      </rPr>
      <t xml:space="preserve">estranhamente próximo de </t>
    </r>
    <r>
      <rPr>
        <b/>
        <sz val="11"/>
        <color rgb="FFC00000"/>
        <rFont val="Calibri"/>
        <family val="2"/>
        <scheme val="minor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</si>
</sst>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 applyFill="1"/>
    <xf numFmtId="1" fontId="0" fillId="0" borderId="0" xfId="0" applyNumberFormat="1" applyFill="1"/>
    <xf numFmtId="0" fontId="0" fillId="5" borderId="0" xfId="0" applyFill="1"/>
    <xf numFmtId="1" fontId="0" fillId="6" borderId="0" xfId="0" applyNumberFormat="1" applyFill="1"/>
    <xf numFmtId="1" fontId="0" fillId="0" borderId="0" xfId="0" applyNumberFormat="1"/>
    <xf numFmtId="0" fontId="2" fillId="7" borderId="0" xfId="0" applyFont="1" applyFill="1"/>
    <xf numFmtId="0" fontId="1" fillId="5" borderId="0" xfId="0" applyFont="1" applyFill="1" applyAlignment="1">
      <alignment horizontal="center"/>
    </xf>
    <xf numFmtId="1" fontId="0" fillId="2" borderId="0" xfId="0" applyNumberFormat="1" applyFill="1"/>
    <xf numFmtId="169" fontId="0" fillId="8" borderId="0" xfId="0" applyNumberFormat="1" applyFill="1"/>
    <xf numFmtId="0" fontId="0" fillId="8" borderId="0" xfId="0" applyFill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9"/>
  <sheetViews>
    <sheetView tabSelected="1" zoomScale="165" workbookViewId="0">
      <selection activeCell="M13" sqref="M13"/>
    </sheetView>
  </sheetViews>
  <sheetFormatPr defaultRowHeight="15" x14ac:dyDescent="0.25"/>
  <cols>
    <col min="2" max="2" width="14.140625" customWidth="1"/>
    <col min="3" max="3" width="9.5703125" bestFit="1" customWidth="1"/>
    <col min="4" max="4" width="5" customWidth="1"/>
    <col min="5" max="5" width="15.140625" customWidth="1"/>
    <col min="6" max="6" width="10.5703125" bestFit="1" customWidth="1"/>
    <col min="7" max="7" width="11.7109375" customWidth="1"/>
    <col min="8" max="8" width="11.28515625" bestFit="1" customWidth="1"/>
    <col min="9" max="9" width="10.5703125" bestFit="1" customWidth="1"/>
    <col min="12" max="12" width="11.42578125" customWidth="1"/>
  </cols>
  <sheetData>
    <row r="3" spans="2:14" x14ac:dyDescent="0.25">
      <c r="E3" s="3" t="s">
        <v>1</v>
      </c>
      <c r="F3" s="3">
        <v>5</v>
      </c>
      <c r="G3" s="3"/>
      <c r="H3" s="3"/>
      <c r="I3" s="3"/>
    </row>
    <row r="4" spans="2:14" x14ac:dyDescent="0.25">
      <c r="E4" s="1" t="s">
        <v>16</v>
      </c>
      <c r="F4" s="4">
        <v>1</v>
      </c>
      <c r="G4" s="4">
        <v>2</v>
      </c>
      <c r="H4" s="4">
        <v>-2</v>
      </c>
      <c r="I4" s="4">
        <v>2.3E-2</v>
      </c>
    </row>
    <row r="5" spans="2:14" x14ac:dyDescent="0.25">
      <c r="E5" s="1" t="s">
        <v>17</v>
      </c>
      <c r="F5" s="4">
        <v>0.65</v>
      </c>
      <c r="G5" s="4">
        <v>1.466</v>
      </c>
      <c r="H5" s="4">
        <v>-1.615</v>
      </c>
      <c r="I5" s="4">
        <v>-0.35749999999999998</v>
      </c>
    </row>
    <row r="6" spans="2:14" x14ac:dyDescent="0.25">
      <c r="E6" t="s">
        <v>0</v>
      </c>
      <c r="F6">
        <f>F4-F5</f>
        <v>0.35</v>
      </c>
      <c r="G6">
        <f t="shared" ref="G6:I6" si="0">G4-G5</f>
        <v>0.53400000000000003</v>
      </c>
      <c r="H6">
        <f t="shared" si="0"/>
        <v>-0.38500000000000001</v>
      </c>
      <c r="I6">
        <f t="shared" si="0"/>
        <v>0.3805</v>
      </c>
    </row>
    <row r="7" spans="2:14" x14ac:dyDescent="0.25">
      <c r="B7" s="7" t="s">
        <v>6</v>
      </c>
      <c r="C7" s="7" t="s">
        <v>7</v>
      </c>
      <c r="E7" t="s">
        <v>2</v>
      </c>
      <c r="F7">
        <f>$F$3*F6</f>
        <v>1.75</v>
      </c>
      <c r="G7">
        <f>$F$3*G6</f>
        <v>2.67</v>
      </c>
      <c r="H7">
        <f>$F$3*H6</f>
        <v>-1.925</v>
      </c>
      <c r="I7">
        <f>$F$3*I6</f>
        <v>1.9025000000000001</v>
      </c>
    </row>
    <row r="8" spans="2:14" x14ac:dyDescent="0.25">
      <c r="B8" s="7" t="s">
        <v>8</v>
      </c>
      <c r="C8" s="7" t="s">
        <v>9</v>
      </c>
      <c r="E8" s="1" t="s">
        <v>3</v>
      </c>
      <c r="F8" s="4">
        <v>3500</v>
      </c>
      <c r="G8" s="4">
        <v>5700</v>
      </c>
      <c r="H8" s="4">
        <v>-3700</v>
      </c>
      <c r="I8" s="4">
        <v>3530</v>
      </c>
    </row>
    <row r="9" spans="2:14" x14ac:dyDescent="0.25">
      <c r="B9" s="7" t="s">
        <v>10</v>
      </c>
      <c r="C9" s="7">
        <v>4.8500000000000003E-4</v>
      </c>
      <c r="E9" s="2" t="s">
        <v>4</v>
      </c>
      <c r="F9" s="6">
        <f>F8/F7</f>
        <v>2000</v>
      </c>
      <c r="G9" s="6">
        <f t="shared" ref="G9:I9" si="1">G8/G7</f>
        <v>2134.8314606741574</v>
      </c>
      <c r="H9" s="6">
        <f t="shared" si="1"/>
        <v>1922.077922077922</v>
      </c>
      <c r="I9" s="6">
        <f t="shared" si="1"/>
        <v>1855.4533508541392</v>
      </c>
      <c r="J9" s="12">
        <f>AVERAGE(F9:I9)</f>
        <v>1978.0906834015545</v>
      </c>
      <c r="K9" s="1" t="s">
        <v>15</v>
      </c>
    </row>
    <row r="10" spans="2:14" x14ac:dyDescent="0.25">
      <c r="B10" s="7" t="s">
        <v>11</v>
      </c>
      <c r="C10" s="7">
        <v>-0.2</v>
      </c>
      <c r="J10" s="13">
        <f>1/J9</f>
        <v>5.0553799600349205E-4</v>
      </c>
      <c r="K10" s="14" t="s">
        <v>5</v>
      </c>
      <c r="L10" s="15" t="s">
        <v>22</v>
      </c>
      <c r="M10" s="15"/>
      <c r="N10" s="15"/>
    </row>
    <row r="11" spans="2:14" x14ac:dyDescent="0.25">
      <c r="B11" s="7" t="s">
        <v>12</v>
      </c>
      <c r="C11" s="7" t="s">
        <v>13</v>
      </c>
      <c r="E11" s="7" t="s">
        <v>18</v>
      </c>
      <c r="F11" s="8">
        <f>(F4-$C$10)/$C$9</f>
        <v>2474.2268041237112</v>
      </c>
      <c r="G11" s="8">
        <f t="shared" ref="G11:I11" si="2">(G4-$C$10)/$C$9</f>
        <v>4536.0824742268042</v>
      </c>
      <c r="H11" s="8">
        <f t="shared" si="2"/>
        <v>-3711.3402061855668</v>
      </c>
      <c r="I11" s="8">
        <f t="shared" si="2"/>
        <v>459.79381443298968</v>
      </c>
    </row>
    <row r="12" spans="2:14" x14ac:dyDescent="0.25">
      <c r="B12" s="7" t="s">
        <v>14</v>
      </c>
      <c r="C12" s="7">
        <v>32768</v>
      </c>
      <c r="E12" s="7" t="s">
        <v>19</v>
      </c>
      <c r="F12" s="8">
        <f>(F5-$C$10)/$C$9</f>
        <v>1752.5773195876291</v>
      </c>
      <c r="G12" s="8">
        <f t="shared" ref="G12:I12" si="3">(G5-$C$10)/$C$9</f>
        <v>3435.0515463917523</v>
      </c>
      <c r="H12" s="8">
        <f t="shared" si="3"/>
        <v>-2917.5257731958764</v>
      </c>
      <c r="I12" s="8">
        <f t="shared" si="3"/>
        <v>-324.74226804123703</v>
      </c>
    </row>
    <row r="13" spans="2:14" x14ac:dyDescent="0.25">
      <c r="E13" t="s">
        <v>0</v>
      </c>
      <c r="F13" s="9">
        <f>F11-F12</f>
        <v>721.64948453608213</v>
      </c>
      <c r="G13" s="9">
        <f t="shared" ref="G13" si="4">G11-G12</f>
        <v>1101.0309278350519</v>
      </c>
      <c r="H13" s="9">
        <f t="shared" ref="H13" si="5">H11-H12</f>
        <v>-793.81443298969043</v>
      </c>
      <c r="I13" s="9">
        <f t="shared" ref="I13" si="6">I11-I12</f>
        <v>784.53608247422676</v>
      </c>
    </row>
    <row r="14" spans="2:14" x14ac:dyDescent="0.25">
      <c r="E14" t="s">
        <v>2</v>
      </c>
      <c r="F14" s="9">
        <f>$F$3*F13</f>
        <v>3608.2474226804106</v>
      </c>
      <c r="G14" s="9">
        <f>$F$3*G13</f>
        <v>5505.1546391752599</v>
      </c>
      <c r="H14" s="9">
        <f>$F$3*H13</f>
        <v>-3969.0721649484522</v>
      </c>
      <c r="I14" s="9">
        <f>$F$3*I13</f>
        <v>3922.6804123711336</v>
      </c>
    </row>
    <row r="15" spans="2:14" x14ac:dyDescent="0.25">
      <c r="E15" s="1" t="s">
        <v>3</v>
      </c>
      <c r="F15" s="4">
        <v>3500</v>
      </c>
      <c r="G15" s="4">
        <v>5700</v>
      </c>
      <c r="H15" s="4">
        <v>-3700</v>
      </c>
      <c r="I15" s="4">
        <v>3530</v>
      </c>
    </row>
    <row r="16" spans="2:14" x14ac:dyDescent="0.25">
      <c r="E16" s="2" t="s">
        <v>4</v>
      </c>
      <c r="F16" s="5">
        <f>F15/F14</f>
        <v>0.97000000000000042</v>
      </c>
      <c r="G16" s="5">
        <f t="shared" ref="G16" si="7">G15/G14</f>
        <v>1.0353932584269658</v>
      </c>
      <c r="H16" s="5">
        <f t="shared" ref="H16" si="8">H15/H14</f>
        <v>0.9322077922077926</v>
      </c>
      <c r="I16" s="5">
        <f t="shared" ref="I16" si="9">I15/I14</f>
        <v>0.8998948751642577</v>
      </c>
    </row>
    <row r="19" spans="5:9" ht="21" x14ac:dyDescent="0.35">
      <c r="E19" s="10" t="s">
        <v>20</v>
      </c>
      <c r="F19" s="11" t="s">
        <v>21</v>
      </c>
      <c r="G19" s="11"/>
      <c r="H19" s="11"/>
      <c r="I19" s="11"/>
    </row>
  </sheetData>
  <mergeCells count="2">
    <mergeCell ref="F19:I19"/>
    <mergeCell ref="L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henrique</dc:creator>
  <cp:lastModifiedBy>Afonso Costa Henrique</cp:lastModifiedBy>
  <dcterms:created xsi:type="dcterms:W3CDTF">2015-06-05T18:17:20Z</dcterms:created>
  <dcterms:modified xsi:type="dcterms:W3CDTF">2025-12-03T14:34:45Z</dcterms:modified>
</cp:coreProperties>
</file>